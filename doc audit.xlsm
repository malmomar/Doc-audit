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momm57\Desktop\"/>
    </mc:Choice>
  </mc:AlternateContent>
  <bookViews>
    <workbookView xWindow="0" yWindow="0" windowWidth="28800" windowHeight="12216" tabRatio="380" firstSheet="1" activeTab="1"/>
  </bookViews>
  <sheets>
    <sheet name="sample IT upload file" sheetId="7" state="hidden" r:id="rId1"/>
    <sheet name="Sheet1" sheetId="1" r:id="rId2"/>
    <sheet name="LOVs" sheetId="5" r:id="rId3"/>
  </sheets>
  <definedNames>
    <definedName name="_xlnm._FilterDatabase" localSheetId="0" hidden="1">'sample IT upload file'!$A$4:$M$98</definedName>
    <definedName name="_xlnm._FilterDatabase" localSheetId="1" hidden="1">Sheet1!$A$4:$Z$15</definedName>
    <definedName name="_Toc449860712" localSheetId="0">'sample IT upload file'!#REF!</definedName>
    <definedName name="_Toc449860712" localSheetId="1">Sheet1!#REF!</definedName>
    <definedName name="Arealist">LOVs!$A$2:$A$5</definedName>
    <definedName name="dynotypes">LOVs!$B$2:$B$15</definedName>
    <definedName name="matlabtypelist">LOVs!$C$2:$C$4</definedName>
    <definedName name="originatorlist">LOVs!$F$2:$F$167</definedName>
    <definedName name="productgroup">LOVs!$G$2:$G$5</definedName>
    <definedName name="techtypelist">LOVs!$E$2:$E$9</definedName>
    <definedName name="vehtypelist">LOVs!$D$2:$D$8</definedName>
  </definedNames>
  <calcPr calcId="152511"/>
</workbook>
</file>

<file path=xl/calcChain.xml><?xml version="1.0" encoding="utf-8"?>
<calcChain xmlns="http://schemas.openxmlformats.org/spreadsheetml/2006/main">
  <c r="G2" i="1" l="1"/>
  <c r="I2" i="1"/>
  <c r="D2" i="1" l="1"/>
  <c r="C2" i="1"/>
  <c r="A2" i="1"/>
  <c r="F2" i="1"/>
  <c r="J2" i="1" l="1"/>
</calcChain>
</file>

<file path=xl/sharedStrings.xml><?xml version="1.0" encoding="utf-8"?>
<sst xmlns="http://schemas.openxmlformats.org/spreadsheetml/2006/main" count="1247" uniqueCount="520">
  <si>
    <t>Product Type</t>
  </si>
  <si>
    <t>Release Status</t>
  </si>
  <si>
    <t>Originator Specification Issue Date</t>
  </si>
  <si>
    <t>Originator</t>
  </si>
  <si>
    <t>Test Area</t>
  </si>
  <si>
    <t>Test Type</t>
  </si>
  <si>
    <t>Released</t>
  </si>
  <si>
    <t>A</t>
  </si>
  <si>
    <t>DISC</t>
  </si>
  <si>
    <t>DYNO</t>
  </si>
  <si>
    <t>PERFORMANCE</t>
  </si>
  <si>
    <t>METAL PICK-UP</t>
  </si>
  <si>
    <t>GENERIC</t>
  </si>
  <si>
    <t>CV DISC</t>
  </si>
  <si>
    <t>WEAR</t>
  </si>
  <si>
    <t>VEHICLE</t>
  </si>
  <si>
    <t>NOISE</t>
  </si>
  <si>
    <t>B</t>
  </si>
  <si>
    <t>TRW</t>
  </si>
  <si>
    <t>1</t>
  </si>
  <si>
    <t>RAILWAY</t>
  </si>
  <si>
    <t>SNCF</t>
  </si>
  <si>
    <t>AK Master</t>
  </si>
  <si>
    <t>0204Y01639</t>
  </si>
  <si>
    <t>27-Jan-2005</t>
  </si>
  <si>
    <t>FM INTERNAL SPEC</t>
  </si>
  <si>
    <t>AK Noise</t>
  </si>
  <si>
    <t>18-May-2004</t>
  </si>
  <si>
    <t>AP</t>
  </si>
  <si>
    <t>DRUM</t>
  </si>
  <si>
    <t>HIGH TEMP/FADE</t>
  </si>
  <si>
    <t>PSA</t>
  </si>
  <si>
    <t>AA</t>
  </si>
  <si>
    <t>CBI</t>
  </si>
  <si>
    <t>02-Jul-2013</t>
  </si>
  <si>
    <t>AMS test</t>
  </si>
  <si>
    <t>0204Y01351</t>
  </si>
  <si>
    <t>Rev. 1</t>
  </si>
  <si>
    <t>Advices Friction Characterisitics Test</t>
  </si>
  <si>
    <t>ADVICS</t>
  </si>
  <si>
    <t>DTV/JUDDER</t>
  </si>
  <si>
    <t>Advics DTV test</t>
  </si>
  <si>
    <t>Advics Friction Test</t>
  </si>
  <si>
    <t>FM082</t>
  </si>
  <si>
    <t>12-Mar-2009</t>
  </si>
  <si>
    <t>Advics HFT Test</t>
  </si>
  <si>
    <t>FM081</t>
  </si>
  <si>
    <t>BPW</t>
  </si>
  <si>
    <t>01-Nov-2006</t>
  </si>
  <si>
    <t>Audi "Newspaper" test</t>
  </si>
  <si>
    <t>06-Apr-2010</t>
  </si>
  <si>
    <t>21-Jan-2005</t>
  </si>
  <si>
    <t>Audi Belagsatz 1</t>
  </si>
  <si>
    <t>Audi Blockverschleiß</t>
  </si>
  <si>
    <t>27-Feb-2008</t>
  </si>
  <si>
    <t>Audi FMVSS Simulation Booster Ausfall</t>
  </si>
  <si>
    <t>FM111</t>
  </si>
  <si>
    <t>2</t>
  </si>
  <si>
    <t>Audi Hot Judder</t>
  </si>
  <si>
    <t>FM110</t>
  </si>
  <si>
    <t>Audi Satz 3 Hochgeschwindigkeitsfading</t>
  </si>
  <si>
    <t>VR_EF-51 29952</t>
  </si>
  <si>
    <t>29-Jul-2009</t>
  </si>
  <si>
    <t>Audi Satz 9 Felgenverschmutzung</t>
  </si>
  <si>
    <t>FM165</t>
  </si>
  <si>
    <t>31-Jan-2018</t>
  </si>
  <si>
    <t>N/A</t>
  </si>
  <si>
    <t>BEV-spezifischer Bremsgeräusch-Prüfstandstest</t>
  </si>
  <si>
    <t>VR_EF-51 299552</t>
  </si>
  <si>
    <t>ALPINE</t>
  </si>
  <si>
    <t>BMW 2-Block-Felgenverschmutzungsprogramm</t>
  </si>
  <si>
    <t>30-Oct-2010</t>
  </si>
  <si>
    <t>BMW</t>
  </si>
  <si>
    <t>BMW Belchamp-Verschleiß-Dauerlauf</t>
  </si>
  <si>
    <t>PS12</t>
  </si>
  <si>
    <t>01-Jul-2008</t>
  </si>
  <si>
    <t>BMW Bremsbelag Rissprogramm</t>
  </si>
  <si>
    <t>PR12</t>
  </si>
  <si>
    <t>BMW Bremsmomentschwankung "LDS+TLDS"</t>
  </si>
  <si>
    <t>PS9</t>
  </si>
  <si>
    <t>31-Jan-2001</t>
  </si>
  <si>
    <t>BMW Stadtrunde</t>
  </si>
  <si>
    <t>PR2</t>
  </si>
  <si>
    <t>01-Jul-1992</t>
  </si>
  <si>
    <t>CORROSION</t>
  </si>
  <si>
    <t>Bosch FAD 5</t>
  </si>
  <si>
    <t>FM104</t>
  </si>
  <si>
    <t>Bosch Friction Performance Procedure (Shortened Version)</t>
  </si>
  <si>
    <t>03-Jul-2013</t>
  </si>
  <si>
    <t>Bosch Homologation Bench Test</t>
  </si>
  <si>
    <t>Bosch Simulated Road Test</t>
  </si>
  <si>
    <t>0204Y04781</t>
  </si>
  <si>
    <t>03-Sep-2007</t>
  </si>
  <si>
    <t>STATIC/HILL-HOLD</t>
  </si>
  <si>
    <t>Brake Disc Cleanability</t>
  </si>
  <si>
    <t>0204Y04945</t>
  </si>
  <si>
    <t>14-Aug-2009</t>
  </si>
  <si>
    <t>F</t>
  </si>
  <si>
    <t>Issue 3</t>
  </si>
  <si>
    <t>3</t>
  </si>
  <si>
    <t>STICTION</t>
  </si>
  <si>
    <t>Brake Shoe, High Friction Composition or Metal Type</t>
  </si>
  <si>
    <t>M-926</t>
  </si>
  <si>
    <t>AAR</t>
  </si>
  <si>
    <t>4</t>
  </si>
  <si>
    <t>UIC</t>
  </si>
  <si>
    <t>5</t>
  </si>
  <si>
    <t>01-Jul-2013</t>
  </si>
  <si>
    <t>MAN</t>
  </si>
  <si>
    <t>CS-FD/ECT24 Drum in hat lining product spec</t>
  </si>
  <si>
    <t>0204Y01747</t>
  </si>
  <si>
    <t>27-May-2003</t>
  </si>
  <si>
    <t>Canary Low Load (drum)</t>
  </si>
  <si>
    <t>Issue B</t>
  </si>
  <si>
    <t>City Circuit Endurance Test</t>
  </si>
  <si>
    <t>Cold compressibility</t>
  </si>
  <si>
    <t>0204Y01640</t>
  </si>
  <si>
    <t>ZF</t>
  </si>
  <si>
    <t>Cooling procedure</t>
  </si>
  <si>
    <t>0204Y04174</t>
  </si>
  <si>
    <t>PBR</t>
  </si>
  <si>
    <t>DTV TEST PROCEDURE FOR BRAKE PADS CBI</t>
  </si>
  <si>
    <t>0204Y01352-AA</t>
  </si>
  <si>
    <t>Density test</t>
  </si>
  <si>
    <t>0204Y01646</t>
  </si>
  <si>
    <t>Disc Brake Friction Material Quality Control Specification</t>
  </si>
  <si>
    <t>Disc Cracking Procedures</t>
  </si>
  <si>
    <t>VR_EF-51 29954</t>
  </si>
  <si>
    <t>06-Jul-2005</t>
  </si>
  <si>
    <t>Disc/pad wear measurement procedure</t>
  </si>
  <si>
    <t>0204Y04173</t>
  </si>
  <si>
    <t>Drum Brake Linings Krauss Test</t>
  </si>
  <si>
    <t>24-Nov-2003</t>
  </si>
  <si>
    <t>TS 4-17-019</t>
  </si>
  <si>
    <t>24-Feb-2004</t>
  </si>
  <si>
    <t>ETS - DUMMY for deployment checks</t>
  </si>
  <si>
    <t>1111.2222.3333.44</t>
  </si>
  <si>
    <t>1.0</t>
  </si>
  <si>
    <t>13-Dec-2018</t>
  </si>
  <si>
    <t>DISC, CV DISC</t>
  </si>
  <si>
    <t>1111.2222.3333</t>
  </si>
  <si>
    <t>17-Jan-2019</t>
  </si>
  <si>
    <t>02-Dec-2018</t>
  </si>
  <si>
    <t>ETS - DUMMY for deployment checks (17.12.2018)</t>
  </si>
  <si>
    <t>123.144.125</t>
  </si>
  <si>
    <t>16-Dec-2018</t>
  </si>
  <si>
    <t>ETS - DUMMY for deployment checks 1</t>
  </si>
  <si>
    <t>11223344</t>
  </si>
  <si>
    <t>02-Jun-2019</t>
  </si>
  <si>
    <t>26-May-2010</t>
  </si>
  <si>
    <t>Engineering Specification - Lining Brake</t>
  </si>
  <si>
    <t>09-Jul-2013</t>
  </si>
  <si>
    <t>FRICTION PERFORMANCE DYNAMOMETER TEST PROCEDURE LOW-STEEL FRICTION MATERIAL (CBI-AKM)</t>
  </si>
  <si>
    <t>0204Y81042-AA</t>
  </si>
  <si>
    <t>0204701999-AA</t>
  </si>
  <si>
    <t>Festkorrodieren von Bremsbelagen an Bremsscheiben</t>
  </si>
  <si>
    <t>VR-EF-51-29958</t>
  </si>
  <si>
    <t>07-Feb-2007</t>
  </si>
  <si>
    <t>14-Jul-2003</t>
  </si>
  <si>
    <t>Full-size test method for wear of brake</t>
  </si>
  <si>
    <t>EBS-D-06004</t>
  </si>
  <si>
    <t>General Product Specification</t>
  </si>
  <si>
    <t>0204Y01355</t>
  </si>
  <si>
    <t>30-Jun-2009</t>
  </si>
  <si>
    <t>Heat transfer test</t>
  </si>
  <si>
    <t>0204Y01644</t>
  </si>
  <si>
    <t>Hot compressibility</t>
  </si>
  <si>
    <t>0204Y01641</t>
  </si>
  <si>
    <t>ISO</t>
  </si>
  <si>
    <t>Infiltration corrosion ingress test</t>
  </si>
  <si>
    <t>0204Y01650</t>
  </si>
  <si>
    <t>none</t>
  </si>
  <si>
    <t>METAL PICK-UP TEST PROCEDURE CBI</t>
  </si>
  <si>
    <t>0204Y04782-AA</t>
  </si>
  <si>
    <t>Messung Reibverhalten und Hysterese Radbremse f. HIL</t>
  </si>
  <si>
    <t>VR_EF-51_299518</t>
  </si>
  <si>
    <t>Modified AK Master</t>
  </si>
  <si>
    <t>10-Jan-2003</t>
  </si>
  <si>
    <t>16-Sep-2003</t>
  </si>
  <si>
    <t>OEBB</t>
  </si>
  <si>
    <t>NVH 3005</t>
  </si>
  <si>
    <t>3005</t>
  </si>
  <si>
    <t>NVH 3056 Mojacar</t>
  </si>
  <si>
    <t>3056</t>
  </si>
  <si>
    <t>NVH 3405</t>
  </si>
  <si>
    <t>3405</t>
  </si>
  <si>
    <t>NVH 3406</t>
  </si>
  <si>
    <t>3406</t>
  </si>
  <si>
    <t>NVH ER68</t>
  </si>
  <si>
    <t>05-Apr-2002</t>
  </si>
  <si>
    <t>North America Automotive Chassis Division Friction Material Processes and Procedures Manual</t>
  </si>
  <si>
    <t>5th Edition</t>
  </si>
  <si>
    <t>Pad swell test</t>
  </si>
  <si>
    <t>0204Y01643</t>
  </si>
  <si>
    <t>Paint cross-scribing test</t>
  </si>
  <si>
    <t>0204Y01651</t>
  </si>
  <si>
    <t>Paint salt spray test</t>
  </si>
  <si>
    <t>0204Y01652</t>
  </si>
  <si>
    <t>Paris City Traffic (PCT) Wear Test</t>
  </si>
  <si>
    <t>23-Feb-2010</t>
  </si>
  <si>
    <t>Porosity test</t>
  </si>
  <si>
    <t>0204Y01647</t>
  </si>
  <si>
    <t>Procédure d'essai ENV1 3062</t>
  </si>
  <si>
    <t>Resistance to brake fluid test</t>
  </si>
  <si>
    <t>0204Y01653</t>
  </si>
  <si>
    <t>Rotor Kindness</t>
  </si>
  <si>
    <t>SAE J2521 Noise Matrix / Audi EF51</t>
  </si>
  <si>
    <t>09-Sep-2013</t>
  </si>
  <si>
    <t>0204704358</t>
  </si>
  <si>
    <t>SALT-SPRAY FADE TEST PROCEDURE FOR TESTING FRONT/REAR BRAKE CALIPER PADS</t>
  </si>
  <si>
    <t>03-Jan-2011</t>
  </si>
  <si>
    <t>STATIC MUE TEST PROCEDURE FOR BRAKE PADS CBI</t>
  </si>
  <si>
    <t>0204Y01353-AA</t>
  </si>
  <si>
    <t>STS031</t>
  </si>
  <si>
    <t>Satz 2 Nässe Salz</t>
  </si>
  <si>
    <t>PV 29952</t>
  </si>
  <si>
    <t>12-Nov-2004</t>
  </si>
  <si>
    <t>Sensitivity to Salt</t>
  </si>
  <si>
    <t>Y204 M00 126</t>
  </si>
  <si>
    <t>18-Feb-2000</t>
  </si>
  <si>
    <t>Sensitivity to Water</t>
  </si>
  <si>
    <t>Y204 M00 125</t>
  </si>
  <si>
    <t>Shear strength test</t>
  </si>
  <si>
    <t>0204Y01642</t>
  </si>
  <si>
    <t>Shim T-Pull test</t>
  </si>
  <si>
    <t>0204Y01645</t>
  </si>
  <si>
    <t>Spezifikation Bremsengeräusch-Prüfung</t>
  </si>
  <si>
    <t>Spezifikation Bremsengeräuschprogramme</t>
  </si>
  <si>
    <t>2.0</t>
  </si>
  <si>
    <t>Static µ test Procedure for Rear brake Pads</t>
  </si>
  <si>
    <t>30-Oct-2009</t>
  </si>
  <si>
    <t>Stiction Test for Drum Brake Lining</t>
  </si>
  <si>
    <t>Stiction test</t>
  </si>
  <si>
    <t>30-Oct-2002</t>
  </si>
  <si>
    <t>Stiction test for drum brake lining.</t>
  </si>
  <si>
    <t>TESTKK</t>
  </si>
  <si>
    <t>TESTKK123456</t>
  </si>
  <si>
    <t>Temperature measurement/embedded thermocouple</t>
  </si>
  <si>
    <t>0204Y04172</t>
  </si>
  <si>
    <t>Thermoschocktest für Scheibenbremsbeläge</t>
  </si>
  <si>
    <t>VR 29959</t>
  </si>
  <si>
    <t>04-Jun-2004</t>
  </si>
  <si>
    <t>WEAR TEST PROCEDURE CBI</t>
  </si>
  <si>
    <t>0204Y01350-AA</t>
  </si>
  <si>
    <t>ln</t>
  </si>
  <si>
    <t>a</t>
  </si>
  <si>
    <t>pH index test</t>
  </si>
  <si>
    <t>0204Y01654</t>
  </si>
  <si>
    <t>Link</t>
  </si>
  <si>
    <t>Originator name in the document</t>
  </si>
  <si>
    <t>TC Specification  Number</t>
  </si>
  <si>
    <t>TC Current Name</t>
  </si>
  <si>
    <t>TC Originator Revision</t>
  </si>
  <si>
    <t>TS4-17-019</t>
  </si>
  <si>
    <t>B Draft</t>
  </si>
  <si>
    <t>Daimler</t>
  </si>
  <si>
    <t xml:space="preserve">0204Y07205 </t>
  </si>
  <si>
    <t>0204 Y02 245</t>
  </si>
  <si>
    <t xml:space="preserve"> 0 204 Y02 234</t>
  </si>
  <si>
    <t xml:space="preserve">0204Y01746-AA </t>
  </si>
  <si>
    <t xml:space="preserve">STICTION TEST PROCEDURE FOR REAR (INTEGRATED PARKING) BRAKE PADS </t>
  </si>
  <si>
    <t xml:space="preserve">0204Y01354-AA </t>
  </si>
  <si>
    <t>Continental</t>
  </si>
  <si>
    <t>Prüfstand Radbremse- Kaltrubbelversuch SMP</t>
  </si>
  <si>
    <t xml:space="preserve">EF-51 </t>
  </si>
  <si>
    <t>no Document inside</t>
  </si>
  <si>
    <t>VDA</t>
  </si>
  <si>
    <t>DIN</t>
  </si>
  <si>
    <t>SAE</t>
  </si>
  <si>
    <t>x</t>
  </si>
  <si>
    <t>Open or Restricted?</t>
  </si>
  <si>
    <t>Open</t>
  </si>
  <si>
    <t>decision</t>
  </si>
  <si>
    <t>Remarks</t>
  </si>
  <si>
    <t>review JT</t>
  </si>
  <si>
    <t>invalid. remove</t>
  </si>
  <si>
    <t>Advics Friction Characterisitics Test</t>
  </si>
  <si>
    <t>no Document inside. Use Advics itself?</t>
  </si>
  <si>
    <t>Drum brake Test Standard</t>
  </si>
  <si>
    <t>STS021.0</t>
  </si>
  <si>
    <t>no Document inside. IT testing?</t>
  </si>
  <si>
    <t>PV 299511</t>
  </si>
  <si>
    <t>VR_EF-51 299511</t>
  </si>
  <si>
    <t>no spec document</t>
  </si>
  <si>
    <t>excel doc</t>
  </si>
  <si>
    <t>see FM111</t>
  </si>
  <si>
    <t>VR 29954</t>
  </si>
  <si>
    <t>3 documents. Teil a, c same?page differ</t>
  </si>
  <si>
    <t>VR_EF-51299513</t>
  </si>
  <si>
    <t>Area</t>
  </si>
  <si>
    <t>Dyno Test methods</t>
  </si>
  <si>
    <t>Vehicle Test methods</t>
  </si>
  <si>
    <t>Physical/Chemical Test methods</t>
  </si>
  <si>
    <t>Technical Specs - Common</t>
  </si>
  <si>
    <t>Corrosion/Stiction</t>
  </si>
  <si>
    <t>Cracking</t>
  </si>
  <si>
    <t>DTV</t>
  </si>
  <si>
    <t>Combined</t>
  </si>
  <si>
    <t>MPU</t>
  </si>
  <si>
    <t>Noise</t>
  </si>
  <si>
    <t>Performance</t>
  </si>
  <si>
    <t>Batch Control</t>
  </si>
  <si>
    <t>Drag</t>
  </si>
  <si>
    <t>Static</t>
  </si>
  <si>
    <t>Wear</t>
  </si>
  <si>
    <t>Dust</t>
  </si>
  <si>
    <t>BTV</t>
  </si>
  <si>
    <t>Emissions</t>
  </si>
  <si>
    <t>Dyno Type</t>
  </si>
  <si>
    <t>Vehicle type</t>
  </si>
  <si>
    <t>Phy/Chem type</t>
  </si>
  <si>
    <t>Physical</t>
  </si>
  <si>
    <t>Chemical</t>
  </si>
  <si>
    <t>Component Material Spec</t>
  </si>
  <si>
    <t>Surface Protection</t>
  </si>
  <si>
    <t>Key Characteristics</t>
  </si>
  <si>
    <t>Marking/Labelling</t>
  </si>
  <si>
    <t>General drawing specs/standards</t>
  </si>
  <si>
    <t>Product Dev Specs</t>
  </si>
  <si>
    <t>Restricted Substances</t>
  </si>
  <si>
    <t>Others</t>
  </si>
  <si>
    <t>tech specs types</t>
  </si>
  <si>
    <t>Advics</t>
  </si>
  <si>
    <t>Africa Rail</t>
  </si>
  <si>
    <t>Akebono</t>
  </si>
  <si>
    <t>AL-KO</t>
  </si>
  <si>
    <t>Alstom</t>
  </si>
  <si>
    <t>APG</t>
  </si>
  <si>
    <t>Arriva Trains Wales</t>
  </si>
  <si>
    <t>Assali Stefen</t>
  </si>
  <si>
    <t>Aston Martin</t>
  </si>
  <si>
    <t>Automotive Products</t>
  </si>
  <si>
    <t>AvtoVAZ</t>
  </si>
  <si>
    <t>Axle Tech Group</t>
  </si>
  <si>
    <t>BAIC</t>
  </si>
  <si>
    <t>Belgian Rail</t>
  </si>
  <si>
    <t>Bendix</t>
  </si>
  <si>
    <t>Benteler</t>
  </si>
  <si>
    <t>Bombardier</t>
  </si>
  <si>
    <t>Brakes India</t>
  </si>
  <si>
    <t>Brembo</t>
  </si>
  <si>
    <t>Brilliance Auto</t>
  </si>
  <si>
    <t>Brunner</t>
  </si>
  <si>
    <t>BWI</t>
  </si>
  <si>
    <t>BYD</t>
  </si>
  <si>
    <t>Carlisle</t>
  </si>
  <si>
    <t>Changan</t>
  </si>
  <si>
    <t>Chile Rail</t>
  </si>
  <si>
    <t>China Rail</t>
  </si>
  <si>
    <t>CNH Industrial</t>
  </si>
  <si>
    <t>CTCS</t>
  </si>
  <si>
    <t>Dana</t>
  </si>
  <si>
    <t>Danish Rail</t>
  </si>
  <si>
    <t>Dennis</t>
  </si>
  <si>
    <t>Dexter</t>
  </si>
  <si>
    <t>Dongfeng</t>
  </si>
  <si>
    <t>East Midlands Trains</t>
  </si>
  <si>
    <t>Eicher Motors</t>
  </si>
  <si>
    <t>Eriks</t>
  </si>
  <si>
    <t>Eurostar</t>
  </si>
  <si>
    <t>Eurotunnel</t>
  </si>
  <si>
    <t>Faiveley</t>
  </si>
  <si>
    <t>FAW</t>
  </si>
  <si>
    <t>Federal-Mogul</t>
  </si>
  <si>
    <t>Fiat Chrysler Automobiles</t>
  </si>
  <si>
    <t>Ford</t>
  </si>
  <si>
    <t>French Rail</t>
  </si>
  <si>
    <t>Frenco</t>
  </si>
  <si>
    <t>Geely</t>
  </si>
  <si>
    <t>General Motors</t>
  </si>
  <si>
    <t>German Rail</t>
  </si>
  <si>
    <t>Gigant</t>
  </si>
  <si>
    <t>Great Wall</t>
  </si>
  <si>
    <t>Guangzhou Auto</t>
  </si>
  <si>
    <t>Haldex</t>
  </si>
  <si>
    <t>Hanning &amp; Kahl</t>
  </si>
  <si>
    <t>Hendrickson</t>
  </si>
  <si>
    <t>Hitachi</t>
  </si>
  <si>
    <t>Honda</t>
  </si>
  <si>
    <t>Huizhong</t>
  </si>
  <si>
    <t>Hunslet TPE</t>
  </si>
  <si>
    <t>Hyundai</t>
  </si>
  <si>
    <t>Indian Rail</t>
  </si>
  <si>
    <t>Italian Rail</t>
  </si>
  <si>
    <t>Jiangling (JMC)</t>
  </si>
  <si>
    <t>Jost</t>
  </si>
  <si>
    <t>King Long</t>
  </si>
  <si>
    <t>Knorr</t>
  </si>
  <si>
    <t>Knott</t>
  </si>
  <si>
    <t>Koegel</t>
  </si>
  <si>
    <t>KTM</t>
  </si>
  <si>
    <t>London Taxis Int</t>
  </si>
  <si>
    <t>Mando</t>
  </si>
  <si>
    <t>Mazda</t>
  </si>
  <si>
    <t>Meritor</t>
  </si>
  <si>
    <t>Merseyrail</t>
  </si>
  <si>
    <t>MG Rover</t>
  </si>
  <si>
    <t>Morris</t>
  </si>
  <si>
    <t>NDA</t>
  </si>
  <si>
    <t>Nissan</t>
  </si>
  <si>
    <t>Nissin</t>
  </si>
  <si>
    <t>Northern Ireland Rail</t>
  </si>
  <si>
    <t>Paccar</t>
  </si>
  <si>
    <t>Pintsch Bubenzer</t>
  </si>
  <si>
    <t>Portugal Rail</t>
  </si>
  <si>
    <t>SABS</t>
  </si>
  <si>
    <t>SAF</t>
  </si>
  <si>
    <t>SAIC</t>
  </si>
  <si>
    <t>Schmitz Cargobull</t>
  </si>
  <si>
    <t>Shanghai Metro</t>
  </si>
  <si>
    <t>Shenzhen Metro</t>
  </si>
  <si>
    <t>Siemens</t>
  </si>
  <si>
    <t>Sisu Truck</t>
  </si>
  <si>
    <t>SouthEastern</t>
  </si>
  <si>
    <t>Southern Railway</t>
  </si>
  <si>
    <t>Spanish Rail</t>
  </si>
  <si>
    <t>Subaru</t>
  </si>
  <si>
    <t>Suzuki</t>
  </si>
  <si>
    <t>Swedish Rail</t>
  </si>
  <si>
    <t>Swiss Rail</t>
  </si>
  <si>
    <t>Tata</t>
  </si>
  <si>
    <t>Tecma</t>
  </si>
  <si>
    <t>Tesla</t>
  </si>
  <si>
    <t>Thailand Rail</t>
  </si>
  <si>
    <t>Thyssen</t>
  </si>
  <si>
    <t>Tokico</t>
  </si>
  <si>
    <t>Toyota</t>
  </si>
  <si>
    <t>Truck Trailer Transit</t>
  </si>
  <si>
    <t>UK Freight Rail</t>
  </si>
  <si>
    <t>USA Rail</t>
  </si>
  <si>
    <t>Veolia</t>
  </si>
  <si>
    <t>VinFast</t>
  </si>
  <si>
    <t>Volkswagen</t>
  </si>
  <si>
    <t>Volvo</t>
  </si>
  <si>
    <t>Wabco</t>
  </si>
  <si>
    <t>Wanxiang</t>
  </si>
  <si>
    <t>WBTL</t>
  </si>
  <si>
    <t>Xiamen Hengdong</t>
  </si>
  <si>
    <t>York</t>
  </si>
  <si>
    <t>Yuanfeng</t>
  </si>
  <si>
    <t>Zhengzhou Yutong</t>
  </si>
  <si>
    <t>ZiL</t>
  </si>
  <si>
    <t>Zotye</t>
  </si>
  <si>
    <t>Audi</t>
  </si>
  <si>
    <t>Bosch</t>
  </si>
  <si>
    <t>Chrysler</t>
  </si>
  <si>
    <t>Delphi</t>
  </si>
  <si>
    <t>Isuzu</t>
  </si>
  <si>
    <t>Iveco</t>
  </si>
  <si>
    <t>Jaguar Land Rover</t>
  </si>
  <si>
    <t>Kaida</t>
  </si>
  <si>
    <t>Kalyani Brakes</t>
  </si>
  <si>
    <t>Mitsubishi</t>
  </si>
  <si>
    <t>Nucap</t>
  </si>
  <si>
    <t>Porsche</t>
  </si>
  <si>
    <t>Renault</t>
  </si>
  <si>
    <t>Transnet</t>
  </si>
  <si>
    <t>Util</t>
  </si>
  <si>
    <t>South African Commuter Rail Corp.</t>
  </si>
  <si>
    <t>DRiV</t>
  </si>
  <si>
    <t>ASTM</t>
  </si>
  <si>
    <t>BSI</t>
  </si>
  <si>
    <t>JIS</t>
  </si>
  <si>
    <t>IS</t>
  </si>
  <si>
    <t>Conti-Teves</t>
  </si>
  <si>
    <t>Teves</t>
  </si>
  <si>
    <t>Product group</t>
  </si>
  <si>
    <t>LV</t>
  </si>
  <si>
    <t>Generic</t>
  </si>
  <si>
    <t>Railways</t>
  </si>
  <si>
    <t>CV</t>
  </si>
  <si>
    <t>Product Group</t>
  </si>
  <si>
    <t>Phy/che Type</t>
  </si>
  <si>
    <t>Tech specs type</t>
  </si>
  <si>
    <t>obsolete</t>
  </si>
  <si>
    <t>duplicate?</t>
  </si>
  <si>
    <t>item x-check</t>
  </si>
  <si>
    <t>ATE</t>
  </si>
  <si>
    <t>remove satz 1 doc from here?</t>
  </si>
  <si>
    <t>PV 29958</t>
  </si>
  <si>
    <t>Name if different</t>
  </si>
  <si>
    <t>Spec# if different</t>
  </si>
  <si>
    <t>Rev if different</t>
  </si>
  <si>
    <t>Date if different</t>
  </si>
  <si>
    <t>Originator if different</t>
  </si>
  <si>
    <t>Restricted?</t>
  </si>
  <si>
    <t>PSxx</t>
  </si>
  <si>
    <t>Saxid</t>
  </si>
  <si>
    <t>draft</t>
  </si>
  <si>
    <t>obsolete?</t>
  </si>
  <si>
    <t>no spec document but scripts</t>
  </si>
  <si>
    <t>0204L65792-AA</t>
  </si>
  <si>
    <t>EKB</t>
  </si>
  <si>
    <t>0204Y07437</t>
  </si>
  <si>
    <t>0 204 Y22 229</t>
  </si>
  <si>
    <t>applies to dyno and vehcile tests</t>
  </si>
  <si>
    <t>ES-2888</t>
  </si>
  <si>
    <t>0 204 Y02 243</t>
  </si>
  <si>
    <t>excel evaluation table? Dyno or vehicle?</t>
  </si>
  <si>
    <t xml:space="preserve">excel evaluation table? </t>
  </si>
  <si>
    <t>dyno or vehicle?</t>
  </si>
  <si>
    <t>0204705902</t>
  </si>
  <si>
    <t>0204712431</t>
  </si>
  <si>
    <t>ENV1 3062</t>
  </si>
  <si>
    <t>vehicle?</t>
  </si>
  <si>
    <t>project specific. Ppt</t>
  </si>
  <si>
    <t>dyno, vehicle</t>
  </si>
  <si>
    <t>ER 68</t>
  </si>
  <si>
    <t>change to current entry</t>
  </si>
  <si>
    <t>test type?</t>
  </si>
  <si>
    <t>product group?</t>
  </si>
  <si>
    <t>obsolete- no view</t>
  </si>
  <si>
    <t>inactive- inactive version but available view</t>
  </si>
  <si>
    <t>Quality Control</t>
  </si>
  <si>
    <t>Disc</t>
  </si>
  <si>
    <t>Duplicate?</t>
  </si>
  <si>
    <t>FM045(In duplicated file)</t>
  </si>
  <si>
    <t>||</t>
  </si>
  <si>
    <t>Audited -MA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</si>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</sst>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7" fillId="0" borderId="0"/>
    <xf numFmtId="0" fontId="11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1" xfId="0" applyFont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Border="1"/>
    <xf numFmtId="0" fontId="0" fillId="5" borderId="0" xfId="0" applyFill="1"/>
    <xf numFmtId="0" fontId="2" fillId="0" borderId="1" xfId="0" applyFont="1" applyFill="1" applyBorder="1" applyAlignment="1" applyProtection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49" fontId="0" fillId="0" borderId="3" xfId="0" applyNumberFormat="1" applyFill="1" applyBorder="1" applyAlignment="1"/>
    <xf numFmtId="49" fontId="0" fillId="0" borderId="3" xfId="0" applyNumberFormat="1" applyFont="1" applyFill="1" applyBorder="1" applyAlignment="1"/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>
      <alignment horizontal="center" vertical="top" wrapText="1"/>
    </xf>
    <xf numFmtId="0" fontId="1" fillId="3" borderId="4" xfId="0" applyFont="1" applyFill="1" applyBorder="1" applyAlignment="1">
      <alignment horizontal="center" vertical="top" wrapText="1"/>
    </xf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top" wrapText="1"/>
    </xf>
    <xf numFmtId="0" fontId="6" fillId="0" borderId="3" xfId="0" applyFont="1" applyFill="1" applyBorder="1" applyAlignment="1" applyProtection="1">
      <alignment horizontal="center" vertical="center"/>
    </xf>
    <xf numFmtId="164" fontId="0" fillId="0" borderId="3" xfId="0" applyNumberFormat="1" applyFill="1" applyBorder="1"/>
    <xf numFmtId="49" fontId="0" fillId="0" borderId="3" xfId="0" applyNumberFormat="1" applyFill="1" applyBorder="1" applyAlignment="1">
      <alignment horizontal="center"/>
    </xf>
    <xf numFmtId="0" fontId="8" fillId="0" borderId="3" xfId="0" applyFont="1" applyFill="1" applyBorder="1" applyAlignment="1" applyProtection="1">
      <alignment horizontal="center" vertical="center"/>
    </xf>
    <xf numFmtId="164" fontId="0" fillId="0" borderId="3" xfId="0" applyNumberFormat="1" applyFont="1" applyFill="1" applyBorder="1"/>
    <xf numFmtId="49" fontId="0" fillId="0" borderId="3" xfId="0" applyNumberFormat="1" applyFon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49" fontId="3" fillId="0" borderId="3" xfId="0" applyNumberFormat="1" applyFont="1" applyFill="1" applyBorder="1" applyAlignment="1"/>
    <xf numFmtId="0" fontId="0" fillId="0" borderId="3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 vertical="top"/>
    </xf>
    <xf numFmtId="164" fontId="0" fillId="0" borderId="3" xfId="0" applyNumberFormat="1" applyFill="1" applyBorder="1" applyAlignment="1">
      <alignment horizontal="left" vertical="top"/>
    </xf>
    <xf numFmtId="164" fontId="0" fillId="0" borderId="3" xfId="0" applyNumberFormat="1" applyFill="1" applyBorder="1" applyAlignment="1">
      <alignment horizontal="left"/>
    </xf>
    <xf numFmtId="0" fontId="0" fillId="0" borderId="3" xfId="0" applyFill="1" applyBorder="1"/>
    <xf numFmtId="49" fontId="4" fillId="0" borderId="3" xfId="0" applyNumberFormat="1" applyFont="1" applyFill="1" applyBorder="1" applyAlignment="1"/>
    <xf numFmtId="49" fontId="0" fillId="0" borderId="3" xfId="0" applyNumberFormat="1" applyFont="1" applyFill="1" applyBorder="1" applyAlignment="1">
      <alignment horizontal="left"/>
    </xf>
    <xf numFmtId="49" fontId="0" fillId="0" borderId="3" xfId="0" applyNumberForma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49" fontId="5" fillId="0" borderId="3" xfId="0" applyNumberFormat="1" applyFont="1" applyFill="1" applyBorder="1" applyAlignment="1">
      <alignment horizontal="left"/>
    </xf>
    <xf numFmtId="0" fontId="9" fillId="0" borderId="3" xfId="0" applyFont="1" applyFill="1" applyBorder="1" applyAlignment="1" applyProtection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0" fillId="0" borderId="3" xfId="0" applyBorder="1" applyAlignment="1">
      <alignment horizontal="center" vertical="center"/>
    </xf>
    <xf numFmtId="49" fontId="0" fillId="0" borderId="3" xfId="0" applyNumberFormat="1" applyFill="1" applyBorder="1" applyAlignment="1">
      <alignment horizontal="left"/>
    </xf>
    <xf numFmtId="49" fontId="0" fillId="6" borderId="3" xfId="0" applyNumberFormat="1" applyFill="1" applyBorder="1" applyAlignment="1">
      <alignment horizontal="left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left" wrapText="1"/>
    </xf>
    <xf numFmtId="0" fontId="0" fillId="0" borderId="0" xfId="0" applyFont="1" applyFill="1" applyBorder="1"/>
    <xf numFmtId="0" fontId="10" fillId="0" borderId="0" xfId="0" applyFont="1" applyFill="1" applyBorder="1" applyAlignment="1">
      <alignment vertical="center"/>
    </xf>
    <xf numFmtId="0" fontId="2" fillId="7" borderId="0" xfId="0" applyFont="1" applyFill="1" applyBorder="1" applyAlignment="1" applyProtection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 wrapText="1"/>
    </xf>
    <xf numFmtId="49" fontId="0" fillId="8" borderId="3" xfId="0" applyNumberFormat="1" applyFill="1" applyBorder="1" applyAlignment="1"/>
    <xf numFmtId="49" fontId="4" fillId="8" borderId="3" xfId="0" applyNumberFormat="1" applyFont="1" applyFill="1" applyBorder="1" applyAlignment="1"/>
    <xf numFmtId="49" fontId="0" fillId="3" borderId="3" xfId="0" applyNumberFormat="1" applyFill="1" applyBorder="1" applyAlignment="1"/>
    <xf numFmtId="0" fontId="0" fillId="0" borderId="0" xfId="0" applyFill="1" applyBorder="1"/>
    <xf numFmtId="0" fontId="8" fillId="0" borderId="3" xfId="0" applyFont="1" applyFill="1" applyBorder="1" applyAlignment="1" applyProtection="1">
      <alignment horizontal="center" vertical="center" wrapText="1"/>
    </xf>
    <xf numFmtId="49" fontId="0" fillId="3" borderId="3" xfId="0" applyNumberFormat="1" applyFill="1" applyBorder="1" applyAlignment="1">
      <alignment horizontal="left"/>
    </xf>
    <xf numFmtId="49" fontId="0" fillId="4" borderId="3" xfId="0" applyNumberFormat="1" applyFill="1" applyBorder="1" applyAlignment="1"/>
    <xf numFmtId="164" fontId="0" fillId="3" borderId="3" xfId="0" applyNumberFormat="1" applyFill="1" applyBorder="1" applyAlignment="1">
      <alignment horizontal="left"/>
    </xf>
    <xf numFmtId="164" fontId="0" fillId="0" borderId="3" xfId="0" applyNumberFormat="1" applyFont="1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0" xfId="0" applyAlignment="1">
      <alignment horizontal="left"/>
    </xf>
    <xf numFmtId="49" fontId="4" fillId="4" borderId="3" xfId="0" applyNumberFormat="1" applyFont="1" applyFill="1" applyBorder="1" applyAlignment="1"/>
    <xf numFmtId="0" fontId="11" fillId="0" borderId="2" xfId="2" applyBorder="1" applyAlignment="1" applyProtection="1">
      <alignment horizontal="center" vertical="center"/>
    </xf>
    <xf numFmtId="0" fontId="11" fillId="0" borderId="1" xfId="2" applyBorder="1" applyAlignment="1" applyProtection="1">
      <alignment horizontal="center" vertical="center"/>
    </xf>
    <xf numFmtId="0" fontId="11" fillId="0" borderId="3" xfId="2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2" fillId="9" borderId="0" xfId="0" applyFont="1" applyFill="1" applyBorder="1" applyAlignment="1" applyProtection="1">
      <alignment horizontal="center" vertical="center"/>
    </xf>
  </cellXfs>
  <cellStyles count="3">
    <cellStyle name="Hyperlink" xfId="2" builtinId="8"/>
    <cellStyle name="Normal" xfId="0" builtinId="0"/>
    <cellStyle name="Standard 2" xfId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34.238.126.82:8080/tc/launchapp?-attach=true&amp;-s=226TCSession&amp;-o=EzexB9CnYG9iFA" TargetMode="External"/><Relationship Id="rId18" Type="http://schemas.openxmlformats.org/officeDocument/2006/relationships/hyperlink" Target="http://134.238.126.82:8080/tc/launchapp?-attach=true&amp;-s=226TCSession&amp;-o=ByUxfW83YG9iFA" TargetMode="External"/><Relationship Id="rId26" Type="http://schemas.openxmlformats.org/officeDocument/2006/relationships/hyperlink" Target="http://134.238.126.82:8080/tc/launchapp?-attach=true&amp;-s=226TCSession&amp;-o=TsZxB9CnYG9iFA" TargetMode="External"/><Relationship Id="rId39" Type="http://schemas.openxmlformats.org/officeDocument/2006/relationships/hyperlink" Target="http://134.238.126.82:8080/tc/launchapp?-attach=true&amp;-s=226TCSession&amp;-o=ngTxB9CnYG9iFA" TargetMode="External"/><Relationship Id="rId21" Type="http://schemas.openxmlformats.org/officeDocument/2006/relationships/hyperlink" Target="http://134.238.126.82:8080/tc/launchapp?-attach=true&amp;-s=226TCSession&amp;-o=R9exB9CnYG9iFA" TargetMode="External"/><Relationship Id="rId34" Type="http://schemas.openxmlformats.org/officeDocument/2006/relationships/hyperlink" Target="http://134.238.126.82:8080/tc/launchapp?-attach=true&amp;-s=226TCSession&amp;-o=hyVxB9CnYG9iFA" TargetMode="External"/><Relationship Id="rId42" Type="http://schemas.openxmlformats.org/officeDocument/2006/relationships/hyperlink" Target="http://134.238.126.82:8080/tc/launchapp?-attach=true&amp;-s=226TCSession&amp;-o=WfbxB9CnYG9iFA" TargetMode="External"/><Relationship Id="rId47" Type="http://schemas.openxmlformats.org/officeDocument/2006/relationships/hyperlink" Target="http://134.238.126.82:8080/tc/launchapp?-attach=true&amp;-s=226TCSession&amp;-o=W7VxB9CnYG9iFA" TargetMode="External"/><Relationship Id="rId50" Type="http://schemas.openxmlformats.org/officeDocument/2006/relationships/hyperlink" Target="http://134.238.126.82:8080/tc/launchapp?-attach=true&amp;-s=226TCSession&amp;-o=jWRxB9CnYG9iFA" TargetMode="External"/><Relationship Id="rId55" Type="http://schemas.openxmlformats.org/officeDocument/2006/relationships/hyperlink" Target="http://134.238.126.82:8080/tc/launchapp?-attach=true&amp;-s=226TCSession&amp;-o=i3TxB9CnYG9iFA" TargetMode="External"/><Relationship Id="rId63" Type="http://schemas.openxmlformats.org/officeDocument/2006/relationships/hyperlink" Target="http://134.238.126.82:8080/tc/launchapp?-attach=true&amp;-s=226TCSession&amp;-o=EUexB9CnYG9iFA" TargetMode="External"/><Relationship Id="rId68" Type="http://schemas.openxmlformats.org/officeDocument/2006/relationships/hyperlink" Target="http://134.238.126.82:8080/tc/launchapp?-attach=true&amp;-s=226TCSession&amp;-o=kiXxB9CnYG9iFA" TargetMode="External"/><Relationship Id="rId76" Type="http://schemas.openxmlformats.org/officeDocument/2006/relationships/hyperlink" Target="http://134.238.126.82:8080/tc/launchapp?-attach=true&amp;-s=226TCSession&amp;-o=47VxB9CnYG9iFA" TargetMode="External"/><Relationship Id="rId84" Type="http://schemas.openxmlformats.org/officeDocument/2006/relationships/hyperlink" Target="http://134.238.126.82:8080/tc/launchapp?-attach=true&amp;-s=226TCSession&amp;-o=GyTxB9CnYG9iFA" TargetMode="External"/><Relationship Id="rId89" Type="http://schemas.openxmlformats.org/officeDocument/2006/relationships/hyperlink" Target="http://134.238.126.82:8080/tc/launchapp?-attach=true&amp;-s=226TCSession&amp;-o=h_axB9CnYG9iFA" TargetMode="External"/><Relationship Id="rId7" Type="http://schemas.openxmlformats.org/officeDocument/2006/relationships/hyperlink" Target="http://134.238.126.82:8080/tc/launchapp?-attach=true&amp;-s=226TCSession&amp;-o=DKcxB9CnYG9iFA" TargetMode="External"/><Relationship Id="rId71" Type="http://schemas.openxmlformats.org/officeDocument/2006/relationships/hyperlink" Target="http://134.238.126.82:8080/tc/launchapp?-attach=true&amp;-s=226TCSession&amp;-o=HgQxB9CnYG9iFA" TargetMode="External"/><Relationship Id="rId92" Type="http://schemas.openxmlformats.org/officeDocument/2006/relationships/hyperlink" Target="http://134.238.126.82:8080/tc/launchapp?-attach=true&amp;-s=226TCSession&amp;-o=q7axB9CnYG9iFA" TargetMode="External"/><Relationship Id="rId2" Type="http://schemas.openxmlformats.org/officeDocument/2006/relationships/hyperlink" Target="http://134.238.126.82:8080/tc/launchapp?-attach=true&amp;-s=226TCSession&amp;-o=iFdxB9CnYG9iFA" TargetMode="External"/><Relationship Id="rId16" Type="http://schemas.openxmlformats.org/officeDocument/2006/relationships/hyperlink" Target="http://134.238.126.82:8080/tc/launchapp?-attach=true&amp;-s=226TCSession&amp;-o=IaQxB9CnYG9iFA" TargetMode="External"/><Relationship Id="rId29" Type="http://schemas.openxmlformats.org/officeDocument/2006/relationships/hyperlink" Target="http://134.238.126.82:8080/tc/launchapp?-attach=true&amp;-s=226TCSession&amp;-o=z9XxB9CnYG9iFA" TargetMode="External"/><Relationship Id="rId11" Type="http://schemas.openxmlformats.org/officeDocument/2006/relationships/hyperlink" Target="http://134.238.126.82:8080/tc/launchapp?-attach=true&amp;-s=226TCSession&amp;-o=DxVxB9CnYG9iFA" TargetMode="External"/><Relationship Id="rId24" Type="http://schemas.openxmlformats.org/officeDocument/2006/relationships/hyperlink" Target="http://134.238.126.82:8080/tc/launchapp?-attach=true&amp;-s=226TCSession&amp;-o=kcQxB9CnYG9iFA" TargetMode="External"/><Relationship Id="rId32" Type="http://schemas.openxmlformats.org/officeDocument/2006/relationships/hyperlink" Target="http://134.238.126.82:8080/tc/launchapp?-attach=true&amp;-s=226TCSession&amp;-o=BobxB9CnYG9iFA" TargetMode="External"/><Relationship Id="rId37" Type="http://schemas.openxmlformats.org/officeDocument/2006/relationships/hyperlink" Target="http://134.238.126.82:8080/tc/launchapp?-attach=true&amp;-s=226TCSession&amp;-o=lyRxB9CnYG9iFA" TargetMode="External"/><Relationship Id="rId40" Type="http://schemas.openxmlformats.org/officeDocument/2006/relationships/hyperlink" Target="http://134.238.126.82:8080/tc/launchapp?-attach=true&amp;-s=226TCSession&amp;-o=nsYxB9CnYG9iFA" TargetMode="External"/><Relationship Id="rId45" Type="http://schemas.openxmlformats.org/officeDocument/2006/relationships/hyperlink" Target="http://134.238.126.82:8080/tc/launchapp?-attach=true&amp;-s=226TCSession&amp;-o=jDYxh1r6YG9iFA" TargetMode="External"/><Relationship Id="rId53" Type="http://schemas.openxmlformats.org/officeDocument/2006/relationships/hyperlink" Target="http://134.238.126.82:8080/tc/launchapp?-attach=true&amp;-s=226TCSession&amp;-o=50UxB9CnYG9iFA" TargetMode="External"/><Relationship Id="rId58" Type="http://schemas.openxmlformats.org/officeDocument/2006/relationships/hyperlink" Target="http://134.238.126.82:8080/tc/launchapp?-attach=true&amp;-s=226TCSession&amp;-o=aCTxB9CnYG9iFA" TargetMode="External"/><Relationship Id="rId66" Type="http://schemas.openxmlformats.org/officeDocument/2006/relationships/hyperlink" Target="http://134.238.126.82:8080/tc/launchapp?-attach=true&amp;-s=226TCSession&amp;-o=q0UxB9CnYG9iFA" TargetMode="External"/><Relationship Id="rId74" Type="http://schemas.openxmlformats.org/officeDocument/2006/relationships/hyperlink" Target="http://134.238.126.82:8080/tc/launchapp?-attach=true&amp;-s=226TCSession&amp;-o=Z9UxB9CnYG9iFA" TargetMode="External"/><Relationship Id="rId79" Type="http://schemas.openxmlformats.org/officeDocument/2006/relationships/hyperlink" Target="http://134.238.126.82:8080/tc/launchapp?-attach=true&amp;-s=226TCSession&amp;-o=BbdxB9CnYG9iFA" TargetMode="External"/><Relationship Id="rId87" Type="http://schemas.openxmlformats.org/officeDocument/2006/relationships/hyperlink" Target="http://134.238.126.82:8080/tc/launchapp?-attach=true&amp;-s=226TCSession&amp;-o=BLZxAXAtYG9iFA" TargetMode="External"/><Relationship Id="rId5" Type="http://schemas.openxmlformats.org/officeDocument/2006/relationships/hyperlink" Target="http://134.238.126.82:8080/tc/launchapp?-attach=true&amp;-s=226TCSession&amp;-o=hvYxB9CnYG9iFA" TargetMode="External"/><Relationship Id="rId61" Type="http://schemas.openxmlformats.org/officeDocument/2006/relationships/hyperlink" Target="http://134.238.126.82:8080/tc/launchapp?-attach=true&amp;-s=226TCSession&amp;-o=YOVxB9CnYG9iFA" TargetMode="External"/><Relationship Id="rId82" Type="http://schemas.openxmlformats.org/officeDocument/2006/relationships/hyperlink" Target="http://134.238.126.82:8080/tc/launchapp?-attach=true&amp;-s=226TCSession&amp;-o=y5dxx6W$YG9iFA" TargetMode="External"/><Relationship Id="rId90" Type="http://schemas.openxmlformats.org/officeDocument/2006/relationships/hyperlink" Target="http://134.238.126.82:8080/tc/launchapp?-attach=true&amp;-s=226TCSession&amp;-o=b8RxB9CnYG9iFA" TargetMode="External"/><Relationship Id="rId95" Type="http://schemas.openxmlformats.org/officeDocument/2006/relationships/printerSettings" Target="../printerSettings/printerSettings1.bin"/><Relationship Id="rId19" Type="http://schemas.openxmlformats.org/officeDocument/2006/relationships/hyperlink" Target="http://134.238.126.82:8080/tc/launchapp?-attach=true&amp;-s=226TCSession&amp;-o=K3UxB9CnYG9iFA" TargetMode="External"/><Relationship Id="rId14" Type="http://schemas.openxmlformats.org/officeDocument/2006/relationships/hyperlink" Target="http://134.238.126.82:8080/tc/launchapp?-attach=true&amp;-s=226TCSession&amp;-o=JNZxB9CnYG9iFA" TargetMode="External"/><Relationship Id="rId22" Type="http://schemas.openxmlformats.org/officeDocument/2006/relationships/hyperlink" Target="http://134.238.126.82:8080/tc/launchapp?-attach=true&amp;-s=226TCSession&amp;-o=1HexB9CnYG9iFA" TargetMode="External"/><Relationship Id="rId27" Type="http://schemas.openxmlformats.org/officeDocument/2006/relationships/hyperlink" Target="http://134.238.126.82:8080/tc/launchapp?-attach=true&amp;-s=226TCSession&amp;-o=soWxB9CnYG9iFA" TargetMode="External"/><Relationship Id="rId30" Type="http://schemas.openxmlformats.org/officeDocument/2006/relationships/hyperlink" Target="http://134.238.126.82:8080/tc/launchapp?-attach=true&amp;-s=226TCSession&amp;-o=n7RxB9CnYG9iFA" TargetMode="External"/><Relationship Id="rId35" Type="http://schemas.openxmlformats.org/officeDocument/2006/relationships/hyperlink" Target="http://134.238.126.82:8080/tc/launchapp?-attach=true&amp;-s=226TCSession&amp;-o=RWSxB9CnYG9iFA" TargetMode="External"/><Relationship Id="rId43" Type="http://schemas.openxmlformats.org/officeDocument/2006/relationships/hyperlink" Target="http://134.238.126.82:8080/tc/launchapp?-attach=true&amp;-s=226TCSession&amp;-o=hGXxbVl8YG9iFA" TargetMode="External"/><Relationship Id="rId48" Type="http://schemas.openxmlformats.org/officeDocument/2006/relationships/hyperlink" Target="http://134.238.126.82:8080/tc/launchapp?-attach=true&amp;-s=226TCSession&amp;-o=1kbxB9CnYG9iFA" TargetMode="External"/><Relationship Id="rId56" Type="http://schemas.openxmlformats.org/officeDocument/2006/relationships/hyperlink" Target="http://134.238.126.82:8080/tc/launchapp?-attach=true&amp;-s=226TCSession&amp;-o=4iUxB9CnYG9iFA" TargetMode="External"/><Relationship Id="rId64" Type="http://schemas.openxmlformats.org/officeDocument/2006/relationships/hyperlink" Target="http://134.238.126.82:8080/tc/launchapp?-attach=true&amp;-s=226TCSession&amp;-o=aXRxB9CnYG9iFA" TargetMode="External"/><Relationship Id="rId69" Type="http://schemas.openxmlformats.org/officeDocument/2006/relationships/hyperlink" Target="http://134.238.126.82:8080/tc/launchapp?-attach=true&amp;-s=226TCSession&amp;-o=INYxB9CnYG9iFA" TargetMode="External"/><Relationship Id="rId77" Type="http://schemas.openxmlformats.org/officeDocument/2006/relationships/hyperlink" Target="http://134.238.126.82:8080/tc/launchapp?-attach=true&amp;-s=226TCSession&amp;-o=ExaxB9CnYG9iFA" TargetMode="External"/><Relationship Id="rId8" Type="http://schemas.openxmlformats.org/officeDocument/2006/relationships/hyperlink" Target="http://134.238.126.82:8080/tc/launchapp?-attach=true&amp;-s=226TCSession&amp;-o=DaRxB9CnYG9iFA" TargetMode="External"/><Relationship Id="rId51" Type="http://schemas.openxmlformats.org/officeDocument/2006/relationships/hyperlink" Target="http://134.238.126.82:8080/tc/launchapp?-attach=true&amp;-s=226TCSession&amp;-o=W5cxB9CnYG9iFA" TargetMode="External"/><Relationship Id="rId72" Type="http://schemas.openxmlformats.org/officeDocument/2006/relationships/hyperlink" Target="http://134.238.126.82:8080/tc/launchapp?-attach=true&amp;-s=226TCSession&amp;-o=yWdxB9CnYG9iFA" TargetMode="External"/><Relationship Id="rId80" Type="http://schemas.openxmlformats.org/officeDocument/2006/relationships/hyperlink" Target="http://134.238.126.82:8080/tc/launchapp?-attach=true&amp;-s=226TCSession&amp;-o=EbUxB9CnYG9iFA" TargetMode="External"/><Relationship Id="rId85" Type="http://schemas.openxmlformats.org/officeDocument/2006/relationships/hyperlink" Target="http://134.238.126.82:8080/tc/launchapp?-attach=true&amp;-s=226TCSession&amp;-o=LwSxB9CnYG9iFA" TargetMode="External"/><Relationship Id="rId93" Type="http://schemas.openxmlformats.org/officeDocument/2006/relationships/hyperlink" Target="http://134.238.126.82:8080/tc/launchapp?-attach=true&amp;-s=226TCSession&amp;-o=m1TxB9CnYG9iFA" TargetMode="External"/><Relationship Id="rId3" Type="http://schemas.openxmlformats.org/officeDocument/2006/relationships/hyperlink" Target="http://134.238.126.82:8080/tc/launchapp?-attach=true&amp;-s=226TCSession&amp;-o=F6UxB9CnYG9iFA" TargetMode="External"/><Relationship Id="rId12" Type="http://schemas.openxmlformats.org/officeDocument/2006/relationships/hyperlink" Target="http://134.238.126.82:8080/tc/launchapp?-attach=true&amp;-s=226TCSession&amp;-o=TJfxB9CnYG9iFA" TargetMode="External"/><Relationship Id="rId17" Type="http://schemas.openxmlformats.org/officeDocument/2006/relationships/hyperlink" Target="http://134.238.126.82:8080/tc/launchapp?-attach=true&amp;-s=226TCSession&amp;-o=Q7XxB9CnYG9iFA" TargetMode="External"/><Relationship Id="rId25" Type="http://schemas.openxmlformats.org/officeDocument/2006/relationships/hyperlink" Target="http://134.238.126.82:8080/tc/launchapp?-attach=true&amp;-s=226TCSession&amp;-o=JbXxB9CnYG9iFA" TargetMode="External"/><Relationship Id="rId33" Type="http://schemas.openxmlformats.org/officeDocument/2006/relationships/hyperlink" Target="http://134.238.126.82:8080/tc/launchapp?-attach=true&amp;-s=226TCSession&amp;-o=G8QxB9CnYG9iFA" TargetMode="External"/><Relationship Id="rId38" Type="http://schemas.openxmlformats.org/officeDocument/2006/relationships/hyperlink" Target="http://134.238.126.82:8080/tc/launchapp?-attach=true&amp;-s=226TCSession&amp;-o=ESQxB9CnYG9iFA" TargetMode="External"/><Relationship Id="rId46" Type="http://schemas.openxmlformats.org/officeDocument/2006/relationships/hyperlink" Target="http://134.238.126.82:8080/tc/launchapp?-attach=true&amp;-s=226TCSession&amp;-o=iEbxB9CnYG9iFA" TargetMode="External"/><Relationship Id="rId59" Type="http://schemas.openxmlformats.org/officeDocument/2006/relationships/hyperlink" Target="http://134.238.126.82:8080/tc/launchapp?-attach=true&amp;-s=226TCSession&amp;-o=JEaxB9CnYG9iFA" TargetMode="External"/><Relationship Id="rId67" Type="http://schemas.openxmlformats.org/officeDocument/2006/relationships/hyperlink" Target="http://134.238.126.82:8080/tc/launchapp?-attach=true&amp;-s=226TCSession&amp;-o=XTYxB9CnYG9iFA" TargetMode="External"/><Relationship Id="rId20" Type="http://schemas.openxmlformats.org/officeDocument/2006/relationships/hyperlink" Target="http://134.238.126.82:8080/tc/launchapp?-attach=true&amp;-s=226TCSession&amp;-o=QvSxB9CnYG9iFA" TargetMode="External"/><Relationship Id="rId41" Type="http://schemas.openxmlformats.org/officeDocument/2006/relationships/hyperlink" Target="http://134.238.126.82:8080/tc/launchapp?-attach=true&amp;-s=226TCSession&amp;-o=KYXxB9CnYG9iFA" TargetMode="External"/><Relationship Id="rId54" Type="http://schemas.openxmlformats.org/officeDocument/2006/relationships/hyperlink" Target="http://134.238.126.82:8080/tc/launchapp?-attach=true&amp;-s=226TCSession&amp;-o=SvSxB9CnYG9iFA" TargetMode="External"/><Relationship Id="rId62" Type="http://schemas.openxmlformats.org/officeDocument/2006/relationships/hyperlink" Target="http://134.238.126.82:8080/tc/launchapp?-attach=true&amp;-s=226TCSession&amp;-o=rURxB9CnYG9iFA" TargetMode="External"/><Relationship Id="rId70" Type="http://schemas.openxmlformats.org/officeDocument/2006/relationships/hyperlink" Target="http://134.238.126.82:8080/tc/launchapp?-attach=true&amp;-s=226TCSession&amp;-o=ojRxB9CnYG9iFA" TargetMode="External"/><Relationship Id="rId75" Type="http://schemas.openxmlformats.org/officeDocument/2006/relationships/hyperlink" Target="http://134.238.126.82:8080/tc/launchapp?-attach=true&amp;-s=226TCSession&amp;-o=I1XxB9CnYG9iFA" TargetMode="External"/><Relationship Id="rId83" Type="http://schemas.openxmlformats.org/officeDocument/2006/relationships/hyperlink" Target="http://134.238.126.82:8080/tc/launchapp?-attach=true&amp;-s=226TCSession&amp;-o=qYaxB9CnYG9iFA" TargetMode="External"/><Relationship Id="rId88" Type="http://schemas.openxmlformats.org/officeDocument/2006/relationships/hyperlink" Target="http://134.238.126.82:8080/tc/launchapp?-attach=true&amp;-s=226TCSession&amp;-o=pdWxB9CnYG9iFA" TargetMode="External"/><Relationship Id="rId91" Type="http://schemas.openxmlformats.org/officeDocument/2006/relationships/hyperlink" Target="http://134.238.126.82:8080/tc/launchapp?-attach=true&amp;-s=226TCSession&amp;-o=xDYxtTrqYG9iFA" TargetMode="External"/><Relationship Id="rId1" Type="http://schemas.openxmlformats.org/officeDocument/2006/relationships/hyperlink" Target="http://134.238.126.82:8080/tc/launchapp?-attach=true&amp;-s=226TCSession&amp;-o=0hexB9CnYG9iFA" TargetMode="External"/><Relationship Id="rId6" Type="http://schemas.openxmlformats.org/officeDocument/2006/relationships/hyperlink" Target="http://134.238.126.82:8080/tc/launchapp?-attach=true&amp;-s=226TCSession&amp;-o=kWSxB9CnYG9iFA" TargetMode="External"/><Relationship Id="rId15" Type="http://schemas.openxmlformats.org/officeDocument/2006/relationships/hyperlink" Target="http://134.238.126.82:8080/tc/launchapp?-attach=true&amp;-s=226TCSession&amp;-o=BxQxB9CnYG9iFA" TargetMode="External"/><Relationship Id="rId23" Type="http://schemas.openxmlformats.org/officeDocument/2006/relationships/hyperlink" Target="http://134.238.126.82:8080/tc/launchapp?-attach=true&amp;-s=226TCSession&amp;-o=EZQxB9CnYG9iFA" TargetMode="External"/><Relationship Id="rId28" Type="http://schemas.openxmlformats.org/officeDocument/2006/relationships/hyperlink" Target="http://134.238.126.82:8080/tc/launchapp?-attach=true&amp;-s=226TCSession&amp;-o=yxVxB9CnYG9iFA" TargetMode="External"/><Relationship Id="rId36" Type="http://schemas.openxmlformats.org/officeDocument/2006/relationships/hyperlink" Target="http://134.238.126.82:8080/tc/launchapp?-attach=true&amp;-s=226TCSession&amp;-o=1qTxB9CnYG9iFA" TargetMode="External"/><Relationship Id="rId49" Type="http://schemas.openxmlformats.org/officeDocument/2006/relationships/hyperlink" Target="http://134.238.126.82:8080/tc/launchapp?-attach=true&amp;-s=226TCSession&amp;-o=TedxB9CnYG9iFA" TargetMode="External"/><Relationship Id="rId57" Type="http://schemas.openxmlformats.org/officeDocument/2006/relationships/hyperlink" Target="http://134.238.126.82:8080/tc/launchapp?-attach=true&amp;-s=226TCSession&amp;-o=HpYxB9CnYG9iFA" TargetMode="External"/><Relationship Id="rId10" Type="http://schemas.openxmlformats.org/officeDocument/2006/relationships/hyperlink" Target="http://134.238.126.82:8080/tc/launchapp?-attach=true&amp;-s=226TCSession&amp;-o=l9UxB9CnYG9iFA" TargetMode="External"/><Relationship Id="rId31" Type="http://schemas.openxmlformats.org/officeDocument/2006/relationships/hyperlink" Target="http://134.238.126.82:8080/tc/launchapp?-attach=true&amp;-s=226TCSession&amp;-o=VnYxB9CnYG9iFA" TargetMode="External"/><Relationship Id="rId44" Type="http://schemas.openxmlformats.org/officeDocument/2006/relationships/hyperlink" Target="http://134.238.126.82:8080/tc/launchapp?-attach=true&amp;-s=226TCSession&amp;-o=hXVxPdsPYG9iFA" TargetMode="External"/><Relationship Id="rId52" Type="http://schemas.openxmlformats.org/officeDocument/2006/relationships/hyperlink" Target="http://134.238.126.82:8080/tc/launchapp?-attach=true&amp;-s=226TCSession&amp;-o=F9RxB9CnYG9iFA" TargetMode="External"/><Relationship Id="rId60" Type="http://schemas.openxmlformats.org/officeDocument/2006/relationships/hyperlink" Target="http://134.238.126.82:8080/tc/launchapp?-attach=true&amp;-s=226TCSession&amp;-o=TgUxB9CnYG9iFA" TargetMode="External"/><Relationship Id="rId65" Type="http://schemas.openxmlformats.org/officeDocument/2006/relationships/hyperlink" Target="http://134.238.126.82:8080/tc/launchapp?-attach=true&amp;-s=226TCSession&amp;-o=nifxB9CnYG9iFA" TargetMode="External"/><Relationship Id="rId73" Type="http://schemas.openxmlformats.org/officeDocument/2006/relationships/hyperlink" Target="http://134.238.126.82:8080/tc/launchapp?-attach=true&amp;-s=226TCSession&amp;-o=C8fxB9CnYG9iFA" TargetMode="External"/><Relationship Id="rId78" Type="http://schemas.openxmlformats.org/officeDocument/2006/relationships/hyperlink" Target="http://134.238.126.82:8080/tc/launchapp?-attach=true&amp;-s=226TCSession&amp;-o=2_VxB9CnYG9iFA" TargetMode="External"/><Relationship Id="rId81" Type="http://schemas.openxmlformats.org/officeDocument/2006/relationships/hyperlink" Target="http://134.238.126.82:8080/tc/launchapp?-attach=true&amp;-s=226TCSession&amp;-o=KtVxB9CnYG9iFA" TargetMode="External"/><Relationship Id="rId86" Type="http://schemas.openxmlformats.org/officeDocument/2006/relationships/hyperlink" Target="http://134.238.126.82:8080/tc/launchapp?-attach=true&amp;-s=226TCSession&amp;-o=mhWxB9CnYG9iFA" TargetMode="External"/><Relationship Id="rId94" Type="http://schemas.openxmlformats.org/officeDocument/2006/relationships/hyperlink" Target="http://134.238.126.82:8080/tc/launchapp?-attach=true&amp;-s=226TCSession&amp;-o=VsbxB9CnYG9iFA" TargetMode="External"/><Relationship Id="rId4" Type="http://schemas.openxmlformats.org/officeDocument/2006/relationships/hyperlink" Target="http://134.238.126.82:8080/tc/launchapp?-attach=true&amp;-s=226TCSession&amp;-o=Y_axB9CnYG9iFA" TargetMode="External"/><Relationship Id="rId9" Type="http://schemas.openxmlformats.org/officeDocument/2006/relationships/hyperlink" Target="http://134.238.126.82:8080/tc/launchapp?-attach=true&amp;-s=226TCSession&amp;-o=DybxB9CnYG9iF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134.238.126.82:8080/awc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://134.238.126.82:8080/tc/launchapp?-attach=true&amp;-s=226TCSession&amp;-o=hXVxPdsPYG9iFA" TargetMode="External"/><Relationship Id="rId1" Type="http://schemas.openxmlformats.org/officeDocument/2006/relationships/hyperlink" Target="http://134.238.126.82:8080/tc/launchapp?-attach=true&amp;-s=226TCSession&amp;-o=hGXxbVl8YG9iFA" TargetMode="External"/><Relationship Id="rId6" Type="http://schemas.openxmlformats.org/officeDocument/2006/relationships/hyperlink" Target="http://134.238.126.82:8080/awc/" TargetMode="External"/><Relationship Id="rId5" Type="http://schemas.openxmlformats.org/officeDocument/2006/relationships/hyperlink" Target="http://134.238.126.82:8080/awc/" TargetMode="External"/><Relationship Id="rId4" Type="http://schemas.openxmlformats.org/officeDocument/2006/relationships/hyperlink" Target="http://134.238.126.82:8080/awc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outlinePr summaryBelow="0"/>
  </sheetPr>
  <dimension ref="A1:R99"/>
  <sheetViews>
    <sheetView zoomScale="90" zoomScaleNormal="90" workbookViewId="0">
      <pane xSplit="5" ySplit="4" topLeftCell="F13" activePane="bottomRight" state="frozen"/>
      <selection pane="topRight" activeCell="C1" sqref="C1"/>
      <selection pane="bottomLeft" activeCell="A2" sqref="A2"/>
      <selection pane="bottomRight" activeCell="D50" sqref="D50"/>
    </sheetView>
  </sheetViews>
  <sheetFormatPr defaultColWidth="9.109375" defaultRowHeight="14.4" x14ac:dyDescent="0.3"/>
  <cols>
    <col min="1" max="1" width="6.109375" customWidth="1"/>
    <col min="2" max="2" width="9.88671875" customWidth="1"/>
    <col min="3" max="3" width="12.33203125" style="9" customWidth="1"/>
    <col min="4" max="4" width="33.88671875" style="9" customWidth="1"/>
    <col min="5" max="5" width="67.5546875" customWidth="1"/>
    <col min="6" max="6" width="34.109375" style="9" customWidth="1"/>
    <col min="7" max="7" width="13.33203125" customWidth="1"/>
    <col min="8" max="8" width="26.88671875" style="60" bestFit="1" customWidth="1"/>
    <col min="9" max="9" width="26.6640625" style="5" customWidth="1"/>
    <col min="10" max="10" width="32.33203125" customWidth="1"/>
    <col min="11" max="11" width="30.33203125" bestFit="1" customWidth="1"/>
    <col min="12" max="12" width="14.109375" customWidth="1"/>
    <col min="13" max="13" width="11.109375" style="4" customWidth="1"/>
  </cols>
  <sheetData>
    <row r="1" spans="1:14" x14ac:dyDescent="0.3">
      <c r="E1" s="55" t="s">
        <v>508</v>
      </c>
    </row>
    <row r="2" spans="1:14" x14ac:dyDescent="0.3">
      <c r="C2" s="9" t="s">
        <v>511</v>
      </c>
    </row>
    <row r="3" spans="1:14" x14ac:dyDescent="0.3">
      <c r="C3" s="9" t="s">
        <v>512</v>
      </c>
    </row>
    <row r="4" spans="1:14" s="3" customFormat="1" ht="30.75" customHeight="1" x14ac:dyDescent="0.3">
      <c r="A4" s="2" t="s">
        <v>248</v>
      </c>
      <c r="B4" s="14" t="s">
        <v>270</v>
      </c>
      <c r="C4" s="17" t="s">
        <v>272</v>
      </c>
      <c r="D4" s="17" t="s">
        <v>273</v>
      </c>
      <c r="E4" s="14" t="s">
        <v>251</v>
      </c>
      <c r="F4" s="17" t="s">
        <v>250</v>
      </c>
      <c r="G4" s="14" t="s">
        <v>252</v>
      </c>
      <c r="H4" s="14" t="s">
        <v>2</v>
      </c>
      <c r="I4" s="14" t="s">
        <v>3</v>
      </c>
      <c r="J4" s="14" t="s">
        <v>289</v>
      </c>
      <c r="K4" s="14" t="s">
        <v>5</v>
      </c>
      <c r="L4" s="14" t="s">
        <v>471</v>
      </c>
      <c r="M4" s="14" t="s">
        <v>1</v>
      </c>
    </row>
    <row r="5" spans="1:14" hidden="1" x14ac:dyDescent="0.3">
      <c r="A5" s="1">
        <v>144</v>
      </c>
      <c r="B5" s="19" t="s">
        <v>271</v>
      </c>
      <c r="C5" s="19"/>
      <c r="D5" s="19"/>
      <c r="E5" s="41" t="s">
        <v>101</v>
      </c>
      <c r="F5" s="10" t="s">
        <v>102</v>
      </c>
      <c r="G5" s="10"/>
      <c r="H5" s="30" t="s">
        <v>48</v>
      </c>
      <c r="I5" s="41" t="s">
        <v>103</v>
      </c>
      <c r="J5" s="10" t="s">
        <v>290</v>
      </c>
      <c r="K5" s="10" t="s">
        <v>297</v>
      </c>
      <c r="L5" s="10" t="s">
        <v>469</v>
      </c>
      <c r="M5" s="21" t="s">
        <v>6</v>
      </c>
    </row>
    <row r="6" spans="1:14" hidden="1" x14ac:dyDescent="0.3">
      <c r="A6" s="7">
        <v>352</v>
      </c>
      <c r="B6" s="19" t="s">
        <v>271</v>
      </c>
      <c r="C6" s="22" t="s">
        <v>474</v>
      </c>
      <c r="D6" s="19"/>
      <c r="E6" s="41" t="s">
        <v>135</v>
      </c>
      <c r="F6" s="11" t="s">
        <v>140</v>
      </c>
      <c r="G6" s="11" t="s">
        <v>137</v>
      </c>
      <c r="H6" s="58" t="s">
        <v>141</v>
      </c>
      <c r="I6" s="41" t="s">
        <v>103</v>
      </c>
      <c r="J6" s="10"/>
      <c r="K6" s="11" t="s">
        <v>69</v>
      </c>
      <c r="L6" s="10"/>
      <c r="M6" s="24" t="s">
        <v>6</v>
      </c>
      <c r="N6" s="8"/>
    </row>
    <row r="7" spans="1:14" hidden="1" x14ac:dyDescent="0.3">
      <c r="A7" s="7">
        <v>353</v>
      </c>
      <c r="B7" s="19" t="s">
        <v>271</v>
      </c>
      <c r="C7" s="22" t="s">
        <v>474</v>
      </c>
      <c r="D7" s="19"/>
      <c r="E7" s="41" t="s">
        <v>135</v>
      </c>
      <c r="F7" s="11" t="s">
        <v>140</v>
      </c>
      <c r="G7" s="11" t="s">
        <v>137</v>
      </c>
      <c r="H7" s="58" t="s">
        <v>142</v>
      </c>
      <c r="I7" s="41" t="s">
        <v>103</v>
      </c>
      <c r="J7" s="10"/>
      <c r="K7" s="11" t="s">
        <v>69</v>
      </c>
      <c r="L7" s="10"/>
      <c r="M7" s="24" t="s">
        <v>6</v>
      </c>
      <c r="N7" s="8"/>
    </row>
    <row r="8" spans="1:14" hidden="1" x14ac:dyDescent="0.3">
      <c r="A8" s="12">
        <v>31</v>
      </c>
      <c r="B8" s="19" t="s">
        <v>271</v>
      </c>
      <c r="C8" s="19"/>
      <c r="D8" s="19"/>
      <c r="E8" s="55" t="s">
        <v>276</v>
      </c>
      <c r="F8" s="10"/>
      <c r="G8" s="10"/>
      <c r="H8" s="30"/>
      <c r="I8" s="41" t="s">
        <v>322</v>
      </c>
      <c r="J8" s="10" t="s">
        <v>290</v>
      </c>
      <c r="K8" s="10" t="s">
        <v>300</v>
      </c>
      <c r="L8" s="10" t="s">
        <v>467</v>
      </c>
      <c r="M8" s="21" t="s">
        <v>6</v>
      </c>
    </row>
    <row r="9" spans="1:14" hidden="1" x14ac:dyDescent="0.3">
      <c r="A9" s="12">
        <v>34</v>
      </c>
      <c r="B9" s="19" t="s">
        <v>271</v>
      </c>
      <c r="C9" s="19"/>
      <c r="D9" s="19"/>
      <c r="E9" s="41" t="s">
        <v>41</v>
      </c>
      <c r="F9" s="25"/>
      <c r="G9" s="10"/>
      <c r="H9" s="30"/>
      <c r="I9" s="41" t="s">
        <v>322</v>
      </c>
      <c r="J9" s="10" t="s">
        <v>290</v>
      </c>
      <c r="K9" s="10" t="s">
        <v>296</v>
      </c>
      <c r="L9" s="10" t="s">
        <v>467</v>
      </c>
      <c r="M9" s="21" t="s">
        <v>6</v>
      </c>
    </row>
    <row r="10" spans="1:14" hidden="1" x14ac:dyDescent="0.3">
      <c r="A10" s="12">
        <v>37</v>
      </c>
      <c r="B10" s="19" t="s">
        <v>271</v>
      </c>
      <c r="C10" s="19"/>
      <c r="D10" s="19"/>
      <c r="E10" s="41" t="s">
        <v>45</v>
      </c>
      <c r="F10" s="10"/>
      <c r="G10" s="10"/>
      <c r="H10" s="30"/>
      <c r="I10" s="41" t="s">
        <v>322</v>
      </c>
      <c r="J10" s="10" t="s">
        <v>290</v>
      </c>
      <c r="K10" s="10" t="s">
        <v>300</v>
      </c>
      <c r="L10" s="10" t="s">
        <v>467</v>
      </c>
      <c r="M10" s="21" t="s">
        <v>6</v>
      </c>
    </row>
    <row r="11" spans="1:14" hidden="1" x14ac:dyDescent="0.3">
      <c r="A11" s="12">
        <v>868</v>
      </c>
      <c r="B11" s="19" t="s">
        <v>271</v>
      </c>
      <c r="C11" s="22" t="s">
        <v>474</v>
      </c>
      <c r="D11" s="19"/>
      <c r="E11" s="41" t="s">
        <v>235</v>
      </c>
      <c r="F11" s="10" t="s">
        <v>236</v>
      </c>
      <c r="G11" s="10" t="s">
        <v>7</v>
      </c>
      <c r="H11" s="30"/>
      <c r="I11" s="41" t="s">
        <v>322</v>
      </c>
      <c r="J11" s="10"/>
      <c r="K11" s="10" t="s">
        <v>69</v>
      </c>
      <c r="L11" s="10"/>
      <c r="M11" s="21"/>
    </row>
    <row r="12" spans="1:14" ht="14.4" hidden="1" customHeight="1" x14ac:dyDescent="0.3">
      <c r="A12" s="12">
        <v>17</v>
      </c>
      <c r="B12" s="19" t="s">
        <v>271</v>
      </c>
      <c r="C12" s="19"/>
      <c r="D12" s="19" t="s">
        <v>510</v>
      </c>
      <c r="E12" s="41" t="s">
        <v>26</v>
      </c>
      <c r="F12" s="10"/>
      <c r="G12" s="10"/>
      <c r="H12" s="30" t="s">
        <v>27</v>
      </c>
      <c r="I12" s="41" t="s">
        <v>28</v>
      </c>
      <c r="J12" s="10" t="s">
        <v>290</v>
      </c>
      <c r="K12" s="10" t="s">
        <v>299</v>
      </c>
      <c r="L12" s="52"/>
      <c r="M12" s="21" t="s">
        <v>6</v>
      </c>
    </row>
    <row r="13" spans="1:14" ht="15" customHeight="1" x14ac:dyDescent="0.3">
      <c r="A13" s="12">
        <v>302</v>
      </c>
      <c r="B13" s="19" t="s">
        <v>271</v>
      </c>
      <c r="C13" s="19"/>
      <c r="D13" s="19" t="s">
        <v>510</v>
      </c>
      <c r="E13" s="41" t="s">
        <v>131</v>
      </c>
      <c r="F13" s="52" t="s">
        <v>279</v>
      </c>
      <c r="G13" s="27">
        <v>0</v>
      </c>
      <c r="H13" s="30" t="s">
        <v>132</v>
      </c>
      <c r="I13" s="41" t="s">
        <v>28</v>
      </c>
      <c r="J13" s="10" t="s">
        <v>290</v>
      </c>
      <c r="K13" s="10" t="s">
        <v>301</v>
      </c>
      <c r="L13" s="52"/>
      <c r="M13" s="21" t="s">
        <v>6</v>
      </c>
    </row>
    <row r="14" spans="1:14" ht="14.4" hidden="1" customHeight="1" x14ac:dyDescent="0.3">
      <c r="A14" s="12">
        <v>794</v>
      </c>
      <c r="B14" s="19" t="s">
        <v>271</v>
      </c>
      <c r="C14" s="19"/>
      <c r="D14" s="19"/>
      <c r="E14" s="55" t="s">
        <v>278</v>
      </c>
      <c r="F14" s="10" t="s">
        <v>213</v>
      </c>
      <c r="G14" s="10" t="s">
        <v>106</v>
      </c>
      <c r="H14" s="30"/>
      <c r="I14" s="55" t="s">
        <v>262</v>
      </c>
      <c r="J14" s="10" t="s">
        <v>290</v>
      </c>
      <c r="K14" s="10" t="s">
        <v>297</v>
      </c>
      <c r="L14" s="52" t="s">
        <v>467</v>
      </c>
      <c r="M14" s="21" t="s">
        <v>6</v>
      </c>
    </row>
    <row r="15" spans="1:14" s="8" customFormat="1" ht="15" hidden="1" customHeight="1" x14ac:dyDescent="0.3">
      <c r="A15" s="13">
        <v>952</v>
      </c>
      <c r="B15" s="19" t="s">
        <v>271</v>
      </c>
      <c r="C15" s="22" t="s">
        <v>474</v>
      </c>
      <c r="D15" s="19" t="s">
        <v>280</v>
      </c>
      <c r="E15" s="41" t="s">
        <v>244</v>
      </c>
      <c r="F15" s="28">
        <v>1234</v>
      </c>
      <c r="G15" s="10" t="s">
        <v>245</v>
      </c>
      <c r="H15" s="30"/>
      <c r="I15" s="41" t="s">
        <v>28</v>
      </c>
      <c r="J15" s="10"/>
      <c r="K15" s="10" t="s">
        <v>84</v>
      </c>
      <c r="L15" s="10"/>
      <c r="M15" s="21"/>
    </row>
    <row r="16" spans="1:14" ht="14.4" customHeight="1" x14ac:dyDescent="0.3">
      <c r="A16" s="12">
        <v>51</v>
      </c>
      <c r="B16" s="19" t="s">
        <v>271</v>
      </c>
      <c r="C16" s="19"/>
      <c r="D16" s="19"/>
      <c r="E16" s="41" t="s">
        <v>49</v>
      </c>
      <c r="F16" s="52" t="s">
        <v>282</v>
      </c>
      <c r="G16" s="10"/>
      <c r="H16" s="30" t="s">
        <v>50</v>
      </c>
      <c r="I16" s="41" t="s">
        <v>443</v>
      </c>
      <c r="J16" s="10" t="s">
        <v>290</v>
      </c>
      <c r="K16" s="10" t="s">
        <v>300</v>
      </c>
      <c r="L16" s="10" t="s">
        <v>467</v>
      </c>
      <c r="M16" s="21" t="s">
        <v>6</v>
      </c>
    </row>
    <row r="17" spans="1:13" ht="15" customHeight="1" x14ac:dyDescent="0.3">
      <c r="A17" s="12">
        <v>52</v>
      </c>
      <c r="B17" s="19" t="s">
        <v>271</v>
      </c>
      <c r="C17" s="48"/>
      <c r="D17" s="19"/>
      <c r="E17" s="41" t="s">
        <v>49</v>
      </c>
      <c r="F17" s="52" t="s">
        <v>281</v>
      </c>
      <c r="G17" s="10"/>
      <c r="H17" s="30" t="s">
        <v>51</v>
      </c>
      <c r="I17" s="41" t="s">
        <v>443</v>
      </c>
      <c r="J17" s="10" t="s">
        <v>290</v>
      </c>
      <c r="K17" s="10" t="s">
        <v>300</v>
      </c>
      <c r="L17" s="10" t="s">
        <v>467</v>
      </c>
      <c r="M17" s="21" t="s">
        <v>6</v>
      </c>
    </row>
    <row r="18" spans="1:13" hidden="1" x14ac:dyDescent="0.3">
      <c r="A18" s="12">
        <v>53</v>
      </c>
      <c r="B18" s="19" t="s">
        <v>271</v>
      </c>
      <c r="C18" s="48" t="s">
        <v>274</v>
      </c>
      <c r="D18" s="19" t="s">
        <v>475</v>
      </c>
      <c r="E18" s="41" t="s">
        <v>49</v>
      </c>
      <c r="F18" s="10"/>
      <c r="G18" s="10"/>
      <c r="H18" s="57">
        <v>38373</v>
      </c>
      <c r="I18" s="41" t="s">
        <v>443</v>
      </c>
      <c r="J18" s="10" t="s">
        <v>290</v>
      </c>
      <c r="K18" s="10" t="s">
        <v>300</v>
      </c>
      <c r="L18" s="10" t="s">
        <v>467</v>
      </c>
      <c r="M18" s="21" t="s">
        <v>6</v>
      </c>
    </row>
    <row r="19" spans="1:13" x14ac:dyDescent="0.3">
      <c r="A19" s="12">
        <v>54</v>
      </c>
      <c r="B19" s="19" t="s">
        <v>271</v>
      </c>
      <c r="C19" s="19"/>
      <c r="D19" s="19"/>
      <c r="E19" s="41" t="s">
        <v>52</v>
      </c>
      <c r="F19" s="52" t="s">
        <v>61</v>
      </c>
      <c r="G19" s="10"/>
      <c r="H19" s="57"/>
      <c r="I19" s="41" t="s">
        <v>443</v>
      </c>
      <c r="J19" s="10" t="s">
        <v>290</v>
      </c>
      <c r="K19" s="10" t="s">
        <v>300</v>
      </c>
      <c r="L19" s="10" t="s">
        <v>467</v>
      </c>
      <c r="M19" s="21" t="s">
        <v>6</v>
      </c>
    </row>
    <row r="20" spans="1:13" hidden="1" x14ac:dyDescent="0.3">
      <c r="A20" s="12">
        <v>55</v>
      </c>
      <c r="B20" s="19" t="s">
        <v>271</v>
      </c>
      <c r="C20" s="19" t="s">
        <v>274</v>
      </c>
      <c r="D20" s="19" t="s">
        <v>283</v>
      </c>
      <c r="E20" s="41" t="s">
        <v>53</v>
      </c>
      <c r="F20" s="10"/>
      <c r="G20" s="10"/>
      <c r="H20" s="30" t="s">
        <v>54</v>
      </c>
      <c r="I20" s="41" t="s">
        <v>443</v>
      </c>
      <c r="J20" s="10" t="s">
        <v>290</v>
      </c>
      <c r="K20" s="10" t="s">
        <v>304</v>
      </c>
      <c r="L20" s="10" t="s">
        <v>467</v>
      </c>
      <c r="M20" s="21" t="s">
        <v>6</v>
      </c>
    </row>
    <row r="21" spans="1:13" hidden="1" x14ac:dyDescent="0.3">
      <c r="A21" s="12">
        <v>56</v>
      </c>
      <c r="B21" s="19" t="s">
        <v>271</v>
      </c>
      <c r="C21" s="19"/>
      <c r="D21" s="19" t="s">
        <v>284</v>
      </c>
      <c r="E21" s="41" t="s">
        <v>53</v>
      </c>
      <c r="F21" s="10"/>
      <c r="G21" s="10"/>
      <c r="H21" s="30"/>
      <c r="I21" s="41" t="s">
        <v>443</v>
      </c>
      <c r="J21" s="10" t="s">
        <v>290</v>
      </c>
      <c r="K21" s="10" t="s">
        <v>304</v>
      </c>
      <c r="L21" s="10" t="s">
        <v>467</v>
      </c>
      <c r="M21" s="21" t="s">
        <v>6</v>
      </c>
    </row>
    <row r="22" spans="1:13" hidden="1" x14ac:dyDescent="0.3">
      <c r="A22" s="12">
        <v>57</v>
      </c>
      <c r="B22" s="19" t="s">
        <v>271</v>
      </c>
      <c r="C22" s="22" t="s">
        <v>474</v>
      </c>
      <c r="D22" s="19" t="s">
        <v>285</v>
      </c>
      <c r="E22" s="41" t="s">
        <v>55</v>
      </c>
      <c r="F22" s="10"/>
      <c r="G22" s="10"/>
      <c r="H22" s="30"/>
      <c r="I22" s="41" t="s">
        <v>443</v>
      </c>
      <c r="J22" s="10"/>
      <c r="K22" s="10" t="s">
        <v>12</v>
      </c>
      <c r="L22" s="10"/>
      <c r="M22" s="21" t="s">
        <v>6</v>
      </c>
    </row>
    <row r="23" spans="1:13" hidden="1" x14ac:dyDescent="0.3">
      <c r="A23" s="12">
        <v>58</v>
      </c>
      <c r="B23" s="19" t="s">
        <v>271</v>
      </c>
      <c r="C23" s="19"/>
      <c r="D23" s="19"/>
      <c r="E23" s="41" t="s">
        <v>55</v>
      </c>
      <c r="F23" s="10" t="s">
        <v>56</v>
      </c>
      <c r="G23" s="10" t="s">
        <v>57</v>
      </c>
      <c r="H23" s="29">
        <v>39643</v>
      </c>
      <c r="I23" s="55" t="s">
        <v>363</v>
      </c>
      <c r="J23" s="10" t="s">
        <v>290</v>
      </c>
      <c r="K23" s="10" t="s">
        <v>300</v>
      </c>
      <c r="L23" s="10" t="s">
        <v>467</v>
      </c>
      <c r="M23" s="21" t="s">
        <v>6</v>
      </c>
    </row>
    <row r="24" spans="1:13" hidden="1" x14ac:dyDescent="0.3">
      <c r="A24" s="12">
        <v>59</v>
      </c>
      <c r="B24" s="19" t="s">
        <v>271</v>
      </c>
      <c r="C24" s="19"/>
      <c r="D24" s="19" t="s">
        <v>509</v>
      </c>
      <c r="E24" s="41" t="s">
        <v>58</v>
      </c>
      <c r="F24" s="10" t="s">
        <v>59</v>
      </c>
      <c r="G24" s="10" t="s">
        <v>19</v>
      </c>
      <c r="H24" s="57">
        <v>40493</v>
      </c>
      <c r="I24" s="55" t="s">
        <v>363</v>
      </c>
      <c r="J24" s="10" t="s">
        <v>290</v>
      </c>
      <c r="K24" s="56"/>
      <c r="L24" s="10" t="s">
        <v>467</v>
      </c>
      <c r="M24" s="21" t="s">
        <v>6</v>
      </c>
    </row>
    <row r="25" spans="1:13" hidden="1" x14ac:dyDescent="0.3">
      <c r="A25" s="12">
        <v>60</v>
      </c>
      <c r="B25" s="19" t="s">
        <v>271</v>
      </c>
      <c r="C25" s="19" t="s">
        <v>274</v>
      </c>
      <c r="D25" s="19" t="s">
        <v>478</v>
      </c>
      <c r="E25" s="41" t="s">
        <v>60</v>
      </c>
      <c r="F25" s="10" t="s">
        <v>61</v>
      </c>
      <c r="G25" s="10"/>
      <c r="H25" s="30" t="s">
        <v>62</v>
      </c>
      <c r="I25" s="41" t="s">
        <v>443</v>
      </c>
      <c r="J25" s="10" t="s">
        <v>290</v>
      </c>
      <c r="K25" s="10" t="s">
        <v>300</v>
      </c>
      <c r="L25" s="10" t="s">
        <v>467</v>
      </c>
      <c r="M25" s="21" t="s">
        <v>6</v>
      </c>
    </row>
    <row r="26" spans="1:13" ht="12" hidden="1" customHeight="1" x14ac:dyDescent="0.3">
      <c r="A26" s="12">
        <v>61</v>
      </c>
      <c r="B26" s="19" t="s">
        <v>271</v>
      </c>
      <c r="C26" s="49" t="s">
        <v>274</v>
      </c>
      <c r="D26" s="19" t="s">
        <v>265</v>
      </c>
      <c r="E26" s="41" t="s">
        <v>63</v>
      </c>
      <c r="F26" s="10" t="s">
        <v>64</v>
      </c>
      <c r="G26" s="10"/>
      <c r="H26" s="30" t="s">
        <v>65</v>
      </c>
      <c r="I26" s="55" t="s">
        <v>363</v>
      </c>
      <c r="J26" s="10" t="s">
        <v>290</v>
      </c>
      <c r="K26" s="10"/>
      <c r="L26" s="10" t="s">
        <v>467</v>
      </c>
      <c r="M26" s="21" t="s">
        <v>6</v>
      </c>
    </row>
    <row r="27" spans="1:13" hidden="1" x14ac:dyDescent="0.3">
      <c r="A27" s="12">
        <v>67</v>
      </c>
      <c r="B27" s="19" t="s">
        <v>271</v>
      </c>
      <c r="C27" s="19"/>
      <c r="D27" s="19"/>
      <c r="E27" s="41" t="s">
        <v>67</v>
      </c>
      <c r="F27" s="10" t="s">
        <v>68</v>
      </c>
      <c r="G27" s="52"/>
      <c r="H27" s="57">
        <v>43083</v>
      </c>
      <c r="I27" s="41" t="s">
        <v>443</v>
      </c>
      <c r="J27" s="10" t="s">
        <v>290</v>
      </c>
      <c r="K27" s="10" t="s">
        <v>299</v>
      </c>
      <c r="L27" s="10" t="s">
        <v>467</v>
      </c>
      <c r="M27" s="21" t="s">
        <v>6</v>
      </c>
    </row>
    <row r="28" spans="1:13" hidden="1" x14ac:dyDescent="0.3">
      <c r="A28" s="12">
        <v>284</v>
      </c>
      <c r="B28" s="19" t="s">
        <v>271</v>
      </c>
      <c r="C28" s="19" t="s">
        <v>274</v>
      </c>
      <c r="D28" s="19" t="s">
        <v>287</v>
      </c>
      <c r="E28" s="41" t="s">
        <v>126</v>
      </c>
      <c r="F28" s="10" t="s">
        <v>127</v>
      </c>
      <c r="G28" s="10"/>
      <c r="H28" s="57">
        <v>40513</v>
      </c>
      <c r="I28" s="41" t="s">
        <v>443</v>
      </c>
      <c r="J28" s="10" t="s">
        <v>290</v>
      </c>
      <c r="K28" s="10" t="s">
        <v>295</v>
      </c>
      <c r="L28" s="10" t="s">
        <v>467</v>
      </c>
      <c r="M28" s="21" t="s">
        <v>6</v>
      </c>
    </row>
    <row r="29" spans="1:13" x14ac:dyDescent="0.3">
      <c r="A29" s="12">
        <v>285</v>
      </c>
      <c r="B29" s="19" t="s">
        <v>271</v>
      </c>
      <c r="C29" s="19"/>
      <c r="D29" s="19"/>
      <c r="E29" s="41" t="s">
        <v>126</v>
      </c>
      <c r="F29" s="52" t="s">
        <v>286</v>
      </c>
      <c r="G29" s="10"/>
      <c r="H29" s="30" t="s">
        <v>128</v>
      </c>
      <c r="I29" s="41" t="s">
        <v>443</v>
      </c>
      <c r="J29" s="10" t="s">
        <v>290</v>
      </c>
      <c r="K29" s="10" t="s">
        <v>295</v>
      </c>
      <c r="L29" s="10" t="s">
        <v>467</v>
      </c>
      <c r="M29" s="21" t="s">
        <v>6</v>
      </c>
    </row>
    <row r="30" spans="1:13" hidden="1" x14ac:dyDescent="0.3">
      <c r="A30" s="12">
        <v>354</v>
      </c>
      <c r="B30" s="19" t="s">
        <v>271</v>
      </c>
      <c r="C30" s="22" t="s">
        <v>474</v>
      </c>
      <c r="D30" s="19"/>
      <c r="E30" s="41" t="s">
        <v>143</v>
      </c>
      <c r="F30" s="11" t="s">
        <v>144</v>
      </c>
      <c r="G30" s="11" t="s">
        <v>19</v>
      </c>
      <c r="H30" s="58" t="s">
        <v>145</v>
      </c>
      <c r="I30" s="41" t="s">
        <v>443</v>
      </c>
      <c r="J30" s="10"/>
      <c r="K30" s="11" t="s">
        <v>84</v>
      </c>
      <c r="L30" s="10"/>
      <c r="M30" s="24" t="s">
        <v>6</v>
      </c>
    </row>
    <row r="31" spans="1:13" x14ac:dyDescent="0.3">
      <c r="A31" s="12">
        <v>356</v>
      </c>
      <c r="B31" s="19" t="s">
        <v>271</v>
      </c>
      <c r="C31" s="19"/>
      <c r="D31" s="19" t="s">
        <v>509</v>
      </c>
      <c r="E31" s="55" t="s">
        <v>263</v>
      </c>
      <c r="F31" s="52" t="s">
        <v>288</v>
      </c>
      <c r="G31" s="10"/>
      <c r="H31" s="30" t="s">
        <v>149</v>
      </c>
      <c r="I31" s="41" t="s">
        <v>443</v>
      </c>
      <c r="J31" s="10" t="s">
        <v>290</v>
      </c>
      <c r="K31" s="56"/>
      <c r="L31" s="10" t="s">
        <v>467</v>
      </c>
      <c r="M31" s="21" t="s">
        <v>6</v>
      </c>
    </row>
    <row r="32" spans="1:13" hidden="1" x14ac:dyDescent="0.3">
      <c r="A32" s="12">
        <v>431</v>
      </c>
      <c r="B32" s="19" t="s">
        <v>271</v>
      </c>
      <c r="C32" s="19"/>
      <c r="D32" s="19"/>
      <c r="E32" s="41" t="s">
        <v>155</v>
      </c>
      <c r="F32" s="10" t="s">
        <v>156</v>
      </c>
      <c r="G32" s="10"/>
      <c r="H32" s="30" t="s">
        <v>157</v>
      </c>
      <c r="I32" s="41" t="s">
        <v>443</v>
      </c>
      <c r="J32" s="10" t="s">
        <v>290</v>
      </c>
      <c r="K32" s="10" t="s">
        <v>294</v>
      </c>
      <c r="L32" s="10" t="s">
        <v>467</v>
      </c>
      <c r="M32" s="21" t="s">
        <v>6</v>
      </c>
    </row>
    <row r="33" spans="1:13" x14ac:dyDescent="0.3">
      <c r="A33" s="12">
        <v>432</v>
      </c>
      <c r="B33" s="19" t="s">
        <v>271</v>
      </c>
      <c r="C33" s="19"/>
      <c r="D33" s="19"/>
      <c r="E33" s="41" t="s">
        <v>155</v>
      </c>
      <c r="F33" s="52" t="s">
        <v>479</v>
      </c>
      <c r="G33" s="52"/>
      <c r="H33" s="30" t="s">
        <v>158</v>
      </c>
      <c r="I33" s="41" t="s">
        <v>443</v>
      </c>
      <c r="J33" s="10" t="s">
        <v>290</v>
      </c>
      <c r="K33" s="10" t="s">
        <v>294</v>
      </c>
      <c r="L33" s="10" t="s">
        <v>467</v>
      </c>
      <c r="M33" s="21" t="s">
        <v>6</v>
      </c>
    </row>
    <row r="34" spans="1:13" hidden="1" x14ac:dyDescent="0.3">
      <c r="A34" s="12">
        <v>617</v>
      </c>
      <c r="B34" s="19" t="s">
        <v>271</v>
      </c>
      <c r="C34" s="19"/>
      <c r="D34" s="19"/>
      <c r="E34" s="41" t="s">
        <v>174</v>
      </c>
      <c r="F34" s="10" t="s">
        <v>175</v>
      </c>
      <c r="G34" s="10"/>
      <c r="H34" s="57">
        <v>40612</v>
      </c>
      <c r="I34" s="41" t="s">
        <v>443</v>
      </c>
      <c r="J34" s="10" t="s">
        <v>290</v>
      </c>
      <c r="K34" s="10" t="s">
        <v>300</v>
      </c>
      <c r="L34" s="10" t="s">
        <v>467</v>
      </c>
      <c r="M34" s="21" t="s">
        <v>6</v>
      </c>
    </row>
    <row r="35" spans="1:13" x14ac:dyDescent="0.3">
      <c r="A35" s="12">
        <v>776</v>
      </c>
      <c r="B35" s="19" t="s">
        <v>271</v>
      </c>
      <c r="C35" s="19"/>
      <c r="D35" s="19"/>
      <c r="E35" s="41" t="s">
        <v>206</v>
      </c>
      <c r="F35" s="55" t="s">
        <v>264</v>
      </c>
      <c r="G35" s="10"/>
      <c r="H35" s="30" t="s">
        <v>207</v>
      </c>
      <c r="I35" s="41" t="s">
        <v>443</v>
      </c>
      <c r="J35" s="10" t="s">
        <v>290</v>
      </c>
      <c r="K35" s="10" t="s">
        <v>299</v>
      </c>
      <c r="L35" s="10" t="s">
        <v>467</v>
      </c>
      <c r="M35" s="21" t="s">
        <v>6</v>
      </c>
    </row>
    <row r="36" spans="1:13" hidden="1" x14ac:dyDescent="0.3">
      <c r="A36" s="12">
        <v>796</v>
      </c>
      <c r="B36" s="19" t="s">
        <v>271</v>
      </c>
      <c r="C36" s="19"/>
      <c r="D36" s="19"/>
      <c r="E36" s="41" t="s">
        <v>214</v>
      </c>
      <c r="F36" s="10" t="s">
        <v>215</v>
      </c>
      <c r="G36" s="10"/>
      <c r="H36" s="30" t="s">
        <v>216</v>
      </c>
      <c r="I36" s="41" t="s">
        <v>443</v>
      </c>
      <c r="J36" s="10" t="s">
        <v>290</v>
      </c>
      <c r="K36" s="10" t="s">
        <v>294</v>
      </c>
      <c r="L36" s="10" t="s">
        <v>467</v>
      </c>
      <c r="M36" s="21" t="s">
        <v>6</v>
      </c>
    </row>
    <row r="37" spans="1:13" hidden="1" x14ac:dyDescent="0.3">
      <c r="A37" s="12">
        <v>899</v>
      </c>
      <c r="B37" s="19" t="s">
        <v>271</v>
      </c>
      <c r="C37" s="19"/>
      <c r="D37" s="19"/>
      <c r="E37" s="41" t="s">
        <v>239</v>
      </c>
      <c r="F37" s="10" t="s">
        <v>240</v>
      </c>
      <c r="G37" s="10"/>
      <c r="H37" s="30" t="s">
        <v>241</v>
      </c>
      <c r="I37" s="41" t="s">
        <v>443</v>
      </c>
      <c r="J37" s="10" t="s">
        <v>290</v>
      </c>
      <c r="K37" s="10"/>
      <c r="L37" s="10" t="s">
        <v>467</v>
      </c>
      <c r="M37" s="21" t="s">
        <v>6</v>
      </c>
    </row>
    <row r="38" spans="1:13" x14ac:dyDescent="0.3">
      <c r="A38" s="12">
        <v>73</v>
      </c>
      <c r="B38" s="19" t="s">
        <v>485</v>
      </c>
      <c r="C38" s="19"/>
      <c r="D38" s="19"/>
      <c r="E38" s="41" t="s">
        <v>70</v>
      </c>
      <c r="F38" s="52" t="s">
        <v>486</v>
      </c>
      <c r="G38" s="10"/>
      <c r="H38" s="30" t="s">
        <v>71</v>
      </c>
      <c r="I38" s="41" t="s">
        <v>72</v>
      </c>
      <c r="J38" s="10" t="s">
        <v>290</v>
      </c>
      <c r="K38" s="10" t="s">
        <v>305</v>
      </c>
      <c r="L38" s="10" t="s">
        <v>467</v>
      </c>
      <c r="M38" s="21" t="s">
        <v>6</v>
      </c>
    </row>
    <row r="39" spans="1:13" hidden="1" x14ac:dyDescent="0.3">
      <c r="A39" s="12">
        <v>75</v>
      </c>
      <c r="B39" s="19" t="s">
        <v>485</v>
      </c>
      <c r="C39" s="19"/>
      <c r="D39" s="19"/>
      <c r="E39" s="41" t="s">
        <v>73</v>
      </c>
      <c r="F39" s="10" t="s">
        <v>74</v>
      </c>
      <c r="G39" s="10"/>
      <c r="H39" s="30" t="s">
        <v>75</v>
      </c>
      <c r="I39" s="41" t="s">
        <v>72</v>
      </c>
      <c r="J39" s="10" t="s">
        <v>290</v>
      </c>
      <c r="K39" s="10" t="s">
        <v>304</v>
      </c>
      <c r="L39" s="10" t="s">
        <v>467</v>
      </c>
      <c r="M39" s="21" t="s">
        <v>6</v>
      </c>
    </row>
    <row r="40" spans="1:13" hidden="1" x14ac:dyDescent="0.3">
      <c r="A40" s="12">
        <v>76</v>
      </c>
      <c r="B40" s="19" t="s">
        <v>485</v>
      </c>
      <c r="C40" s="48"/>
      <c r="D40" s="48" t="s">
        <v>509</v>
      </c>
      <c r="E40" s="41" t="s">
        <v>76</v>
      </c>
      <c r="F40" s="10" t="s">
        <v>77</v>
      </c>
      <c r="G40" s="10"/>
      <c r="H40" s="30"/>
      <c r="I40" s="41" t="s">
        <v>72</v>
      </c>
      <c r="J40" s="10" t="s">
        <v>290</v>
      </c>
      <c r="K40" s="56"/>
      <c r="L40" s="10" t="s">
        <v>467</v>
      </c>
      <c r="M40" s="21" t="s">
        <v>6</v>
      </c>
    </row>
    <row r="41" spans="1:13" hidden="1" x14ac:dyDescent="0.3">
      <c r="A41" s="12">
        <v>77</v>
      </c>
      <c r="B41" s="19" t="s">
        <v>485</v>
      </c>
      <c r="C41" s="19"/>
      <c r="D41" s="19"/>
      <c r="E41" s="41" t="s">
        <v>78</v>
      </c>
      <c r="F41" s="10" t="s">
        <v>79</v>
      </c>
      <c r="G41" s="10"/>
      <c r="H41" s="30" t="s">
        <v>80</v>
      </c>
      <c r="I41" s="41" t="s">
        <v>72</v>
      </c>
      <c r="J41" s="10" t="s">
        <v>290</v>
      </c>
      <c r="K41" s="10" t="s">
        <v>40</v>
      </c>
      <c r="L41" s="10" t="s">
        <v>467</v>
      </c>
      <c r="M41" s="21" t="s">
        <v>6</v>
      </c>
    </row>
    <row r="42" spans="1:13" hidden="1" x14ac:dyDescent="0.3">
      <c r="A42" s="12">
        <v>78</v>
      </c>
      <c r="B42" s="19" t="s">
        <v>485</v>
      </c>
      <c r="C42" s="19"/>
      <c r="D42" s="19"/>
      <c r="E42" s="41" t="s">
        <v>81</v>
      </c>
      <c r="F42" s="10" t="s">
        <v>82</v>
      </c>
      <c r="G42" s="10"/>
      <c r="H42" s="30" t="s">
        <v>83</v>
      </c>
      <c r="I42" s="41" t="s">
        <v>72</v>
      </c>
      <c r="J42" s="10" t="s">
        <v>290</v>
      </c>
      <c r="K42" s="10" t="s">
        <v>10</v>
      </c>
      <c r="L42" s="10" t="s">
        <v>467</v>
      </c>
      <c r="M42" s="21" t="s">
        <v>6</v>
      </c>
    </row>
    <row r="43" spans="1:13" x14ac:dyDescent="0.3">
      <c r="A43" s="12">
        <v>188</v>
      </c>
      <c r="B43" s="19" t="s">
        <v>485</v>
      </c>
      <c r="C43" s="19"/>
      <c r="D43" s="19"/>
      <c r="E43" s="41" t="s">
        <v>114</v>
      </c>
      <c r="F43" s="52"/>
      <c r="G43" s="52" t="s">
        <v>7</v>
      </c>
      <c r="H43" s="30"/>
      <c r="I43" s="55" t="s">
        <v>487</v>
      </c>
      <c r="J43" s="10" t="s">
        <v>290</v>
      </c>
      <c r="K43" s="10" t="s">
        <v>14</v>
      </c>
      <c r="L43" s="10" t="s">
        <v>467</v>
      </c>
      <c r="M43" s="21" t="s">
        <v>6</v>
      </c>
    </row>
    <row r="44" spans="1:13" hidden="1" x14ac:dyDescent="0.3">
      <c r="A44" s="12">
        <v>830</v>
      </c>
      <c r="B44" s="19" t="s">
        <v>485</v>
      </c>
      <c r="C44" s="19"/>
      <c r="D44" s="19"/>
      <c r="E44" s="41" t="s">
        <v>226</v>
      </c>
      <c r="F44" s="10"/>
      <c r="G44" s="10" t="s">
        <v>19</v>
      </c>
      <c r="H44" s="57">
        <v>40246</v>
      </c>
      <c r="I44" s="41" t="s">
        <v>72</v>
      </c>
      <c r="J44" s="10" t="s">
        <v>290</v>
      </c>
      <c r="K44" s="10" t="s">
        <v>16</v>
      </c>
      <c r="L44" s="10" t="s">
        <v>467</v>
      </c>
      <c r="M44" s="21" t="s">
        <v>6</v>
      </c>
    </row>
    <row r="45" spans="1:13" hidden="1" x14ac:dyDescent="0.3">
      <c r="A45" s="12">
        <v>831</v>
      </c>
      <c r="B45" s="19" t="s">
        <v>485</v>
      </c>
      <c r="C45" s="19"/>
      <c r="D45" s="19"/>
      <c r="E45" s="41" t="s">
        <v>227</v>
      </c>
      <c r="F45" s="10" t="s">
        <v>66</v>
      </c>
      <c r="G45" s="10" t="s">
        <v>228</v>
      </c>
      <c r="H45" s="57">
        <v>42872</v>
      </c>
      <c r="I45" s="41" t="s">
        <v>72</v>
      </c>
      <c r="J45" s="10" t="s">
        <v>290</v>
      </c>
      <c r="K45" s="10" t="s">
        <v>16</v>
      </c>
      <c r="L45" s="10" t="s">
        <v>467</v>
      </c>
      <c r="M45" s="21" t="s">
        <v>488</v>
      </c>
    </row>
    <row r="46" spans="1:13" hidden="1" x14ac:dyDescent="0.3">
      <c r="A46" s="12">
        <v>15</v>
      </c>
      <c r="B46" s="19" t="s">
        <v>271</v>
      </c>
      <c r="C46" s="19"/>
      <c r="D46" s="19"/>
      <c r="E46" s="41" t="s">
        <v>22</v>
      </c>
      <c r="F46" s="10" t="s">
        <v>23</v>
      </c>
      <c r="G46" s="10"/>
      <c r="H46" s="30" t="s">
        <v>24</v>
      </c>
      <c r="I46" s="41" t="s">
        <v>444</v>
      </c>
      <c r="J46" s="10" t="s">
        <v>290</v>
      </c>
      <c r="K46" s="10" t="s">
        <v>10</v>
      </c>
      <c r="L46" s="10" t="s">
        <v>467</v>
      </c>
      <c r="M46" s="21" t="s">
        <v>6</v>
      </c>
    </row>
    <row r="47" spans="1:13" hidden="1" x14ac:dyDescent="0.3">
      <c r="A47" s="12">
        <v>27</v>
      </c>
      <c r="B47" s="19" t="s">
        <v>271</v>
      </c>
      <c r="C47" s="19"/>
      <c r="D47" s="19"/>
      <c r="E47" s="41" t="s">
        <v>35</v>
      </c>
      <c r="F47" s="10" t="s">
        <v>36</v>
      </c>
      <c r="G47" s="10" t="s">
        <v>37</v>
      </c>
      <c r="H47" s="30" t="s">
        <v>24</v>
      </c>
      <c r="I47" s="41" t="s">
        <v>444</v>
      </c>
      <c r="J47" s="10" t="s">
        <v>290</v>
      </c>
      <c r="K47" s="10" t="s">
        <v>30</v>
      </c>
      <c r="L47" s="10" t="s">
        <v>467</v>
      </c>
      <c r="M47" s="21" t="s">
        <v>6</v>
      </c>
    </row>
    <row r="48" spans="1:13" s="8" customFormat="1" hidden="1" x14ac:dyDescent="0.3">
      <c r="A48" s="13">
        <v>92</v>
      </c>
      <c r="B48" s="19" t="s">
        <v>271</v>
      </c>
      <c r="C48" s="22" t="s">
        <v>489</v>
      </c>
      <c r="D48" s="48" t="s">
        <v>490</v>
      </c>
      <c r="E48" s="41" t="s">
        <v>85</v>
      </c>
      <c r="F48" s="61" t="s">
        <v>86</v>
      </c>
      <c r="G48" s="52"/>
      <c r="H48" s="57"/>
      <c r="I48" s="55" t="s">
        <v>363</v>
      </c>
      <c r="J48" s="10"/>
      <c r="K48" s="10" t="s">
        <v>14</v>
      </c>
      <c r="L48" s="10"/>
      <c r="M48" s="21" t="s">
        <v>6</v>
      </c>
    </row>
    <row r="49" spans="1:13" x14ac:dyDescent="0.3">
      <c r="A49" s="12">
        <v>93</v>
      </c>
      <c r="B49" s="19" t="s">
        <v>271</v>
      </c>
      <c r="C49" s="37"/>
      <c r="D49" s="37"/>
      <c r="E49" s="41" t="s">
        <v>87</v>
      </c>
      <c r="F49" s="52" t="s">
        <v>154</v>
      </c>
      <c r="G49" s="52"/>
      <c r="H49" s="30" t="s">
        <v>88</v>
      </c>
      <c r="I49" s="55" t="s">
        <v>33</v>
      </c>
      <c r="J49" s="10" t="s">
        <v>290</v>
      </c>
      <c r="K49" s="10" t="s">
        <v>10</v>
      </c>
      <c r="L49" s="10" t="s">
        <v>467</v>
      </c>
      <c r="M49" s="21" t="s">
        <v>6</v>
      </c>
    </row>
    <row r="50" spans="1:13" x14ac:dyDescent="0.3">
      <c r="A50" s="12">
        <v>94</v>
      </c>
      <c r="B50" s="19" t="s">
        <v>271</v>
      </c>
      <c r="C50" s="37"/>
      <c r="D50" s="37"/>
      <c r="E50" s="41" t="s">
        <v>89</v>
      </c>
      <c r="F50" s="52" t="s">
        <v>491</v>
      </c>
      <c r="G50" s="52"/>
      <c r="H50" s="30" t="s">
        <v>34</v>
      </c>
      <c r="I50" s="55" t="s">
        <v>33</v>
      </c>
      <c r="J50" s="10" t="s">
        <v>290</v>
      </c>
      <c r="K50" s="10" t="s">
        <v>10</v>
      </c>
      <c r="L50" s="10" t="s">
        <v>467</v>
      </c>
      <c r="M50" s="21" t="s">
        <v>6</v>
      </c>
    </row>
    <row r="51" spans="1:13" x14ac:dyDescent="0.3">
      <c r="A51" s="12">
        <v>95</v>
      </c>
      <c r="B51" s="19" t="s">
        <v>271</v>
      </c>
      <c r="C51" s="37"/>
      <c r="D51" s="37"/>
      <c r="E51" s="41" t="s">
        <v>89</v>
      </c>
      <c r="F51" s="52" t="s">
        <v>256</v>
      </c>
      <c r="G51" s="52"/>
      <c r="H51" s="57">
        <v>39639</v>
      </c>
      <c r="I51" s="41" t="s">
        <v>444</v>
      </c>
      <c r="J51" s="10" t="s">
        <v>290</v>
      </c>
      <c r="K51" s="10" t="s">
        <v>10</v>
      </c>
      <c r="L51" s="10" t="s">
        <v>467</v>
      </c>
      <c r="M51" s="21" t="s">
        <v>6</v>
      </c>
    </row>
    <row r="52" spans="1:13" hidden="1" x14ac:dyDescent="0.3">
      <c r="A52" s="12">
        <v>96</v>
      </c>
      <c r="B52" s="19" t="s">
        <v>271</v>
      </c>
      <c r="C52" s="37"/>
      <c r="D52" s="37"/>
      <c r="E52" s="41" t="s">
        <v>90</v>
      </c>
      <c r="F52" s="10" t="s">
        <v>91</v>
      </c>
      <c r="G52" s="10"/>
      <c r="H52" s="30" t="s">
        <v>92</v>
      </c>
      <c r="I52" s="41" t="s">
        <v>444</v>
      </c>
      <c r="J52" s="10" t="s">
        <v>290</v>
      </c>
      <c r="K52" s="10" t="s">
        <v>14</v>
      </c>
      <c r="L52" s="10" t="s">
        <v>467</v>
      </c>
      <c r="M52" s="21" t="s">
        <v>6</v>
      </c>
    </row>
    <row r="53" spans="1:13" hidden="1" x14ac:dyDescent="0.3">
      <c r="A53" s="12">
        <v>105</v>
      </c>
      <c r="B53" s="19" t="s">
        <v>271</v>
      </c>
      <c r="C53" s="37"/>
      <c r="D53" s="37"/>
      <c r="E53" s="41" t="s">
        <v>94</v>
      </c>
      <c r="F53" s="10" t="s">
        <v>95</v>
      </c>
      <c r="G53" s="10" t="s">
        <v>19</v>
      </c>
      <c r="H53" s="30" t="s">
        <v>96</v>
      </c>
      <c r="I53" s="41" t="s">
        <v>444</v>
      </c>
      <c r="J53" s="10" t="s">
        <v>290</v>
      </c>
      <c r="K53" s="10" t="s">
        <v>84</v>
      </c>
      <c r="L53" s="10" t="s">
        <v>467</v>
      </c>
      <c r="M53" s="21" t="s">
        <v>6</v>
      </c>
    </row>
    <row r="54" spans="1:13" hidden="1" x14ac:dyDescent="0.3">
      <c r="A54" s="12">
        <v>171</v>
      </c>
      <c r="B54" s="19" t="s">
        <v>271</v>
      </c>
      <c r="C54" s="37"/>
      <c r="D54" s="37"/>
      <c r="E54" s="41" t="s">
        <v>109</v>
      </c>
      <c r="F54" s="10" t="s">
        <v>110</v>
      </c>
      <c r="G54" s="10"/>
      <c r="H54" s="30" t="s">
        <v>111</v>
      </c>
      <c r="I54" s="41" t="s">
        <v>444</v>
      </c>
      <c r="J54" s="10" t="s">
        <v>293</v>
      </c>
      <c r="K54" s="10" t="s">
        <v>12</v>
      </c>
      <c r="L54" s="10" t="s">
        <v>467</v>
      </c>
      <c r="M54" s="21" t="s">
        <v>6</v>
      </c>
    </row>
    <row r="55" spans="1:13" x14ac:dyDescent="0.3">
      <c r="A55" s="12">
        <v>175</v>
      </c>
      <c r="B55" s="19" t="s">
        <v>271</v>
      </c>
      <c r="C55" s="37"/>
      <c r="D55" s="37"/>
      <c r="E55" s="41" t="s">
        <v>112</v>
      </c>
      <c r="F55" s="52" t="s">
        <v>493</v>
      </c>
      <c r="G55" s="10"/>
      <c r="H55" s="57">
        <v>39646</v>
      </c>
      <c r="I55" s="41" t="s">
        <v>444</v>
      </c>
      <c r="J55" s="10" t="s">
        <v>290</v>
      </c>
      <c r="K55" s="10" t="s">
        <v>14</v>
      </c>
      <c r="L55" s="10" t="s">
        <v>467</v>
      </c>
      <c r="M55" s="21" t="s">
        <v>6</v>
      </c>
    </row>
    <row r="56" spans="1:13" ht="14.4" hidden="1" customHeight="1" x14ac:dyDescent="0.3">
      <c r="A56" s="12">
        <v>194</v>
      </c>
      <c r="B56" s="19" t="s">
        <v>271</v>
      </c>
      <c r="C56" s="37"/>
      <c r="D56" s="37"/>
      <c r="E56" s="41" t="s">
        <v>115</v>
      </c>
      <c r="F56" s="10" t="s">
        <v>116</v>
      </c>
      <c r="G56" s="10"/>
      <c r="H56" s="30" t="s">
        <v>24</v>
      </c>
      <c r="I56" s="41" t="s">
        <v>444</v>
      </c>
      <c r="J56" s="10" t="s">
        <v>292</v>
      </c>
      <c r="K56" s="10" t="s">
        <v>311</v>
      </c>
      <c r="L56" s="10" t="s">
        <v>467</v>
      </c>
      <c r="M56" s="21" t="s">
        <v>6</v>
      </c>
    </row>
    <row r="57" spans="1:13" hidden="1" x14ac:dyDescent="0.3">
      <c r="A57" s="12">
        <v>214</v>
      </c>
      <c r="B57" s="19" t="s">
        <v>271</v>
      </c>
      <c r="C57" s="37"/>
      <c r="D57" s="37"/>
      <c r="E57" s="41" t="s">
        <v>118</v>
      </c>
      <c r="F57" s="10" t="s">
        <v>119</v>
      </c>
      <c r="G57" s="10"/>
      <c r="H57" s="30" t="s">
        <v>24</v>
      </c>
      <c r="I57" s="41" t="s">
        <v>444</v>
      </c>
      <c r="J57" s="10" t="s">
        <v>290</v>
      </c>
      <c r="K57" s="10" t="s">
        <v>10</v>
      </c>
      <c r="L57" s="10" t="s">
        <v>467</v>
      </c>
      <c r="M57" s="21" t="s">
        <v>6</v>
      </c>
    </row>
    <row r="58" spans="1:13" hidden="1" x14ac:dyDescent="0.3">
      <c r="A58" s="12">
        <v>252</v>
      </c>
      <c r="B58" s="19" t="s">
        <v>271</v>
      </c>
      <c r="C58" s="37"/>
      <c r="D58" s="37"/>
      <c r="E58" s="41" t="s">
        <v>121</v>
      </c>
      <c r="F58" s="10" t="s">
        <v>122</v>
      </c>
      <c r="G58" s="10"/>
      <c r="H58" s="30" t="s">
        <v>107</v>
      </c>
      <c r="I58" s="55" t="s">
        <v>33</v>
      </c>
      <c r="J58" s="10" t="s">
        <v>290</v>
      </c>
      <c r="K58" s="10" t="s">
        <v>40</v>
      </c>
      <c r="L58" s="10" t="s">
        <v>467</v>
      </c>
      <c r="M58" s="21" t="s">
        <v>6</v>
      </c>
    </row>
    <row r="59" spans="1:13" hidden="1" x14ac:dyDescent="0.3">
      <c r="A59" s="12">
        <v>261</v>
      </c>
      <c r="B59" s="19" t="s">
        <v>271</v>
      </c>
      <c r="C59" s="37"/>
      <c r="D59" s="37"/>
      <c r="E59" s="41" t="s">
        <v>123</v>
      </c>
      <c r="F59" s="10" t="s">
        <v>124</v>
      </c>
      <c r="G59" s="10"/>
      <c r="H59" s="30" t="s">
        <v>24</v>
      </c>
      <c r="I59" s="41" t="s">
        <v>444</v>
      </c>
      <c r="J59" s="10" t="s">
        <v>292</v>
      </c>
      <c r="K59" s="10" t="s">
        <v>311</v>
      </c>
      <c r="L59" s="10" t="s">
        <v>467</v>
      </c>
      <c r="M59" s="21" t="s">
        <v>6</v>
      </c>
    </row>
    <row r="60" spans="1:13" x14ac:dyDescent="0.3">
      <c r="A60" s="12">
        <v>272</v>
      </c>
      <c r="B60" s="19" t="s">
        <v>271</v>
      </c>
      <c r="C60" s="37"/>
      <c r="D60" s="37"/>
      <c r="E60" s="41" t="s">
        <v>125</v>
      </c>
      <c r="F60" s="52" t="s">
        <v>494</v>
      </c>
      <c r="G60" s="10"/>
      <c r="H60" s="57">
        <v>37631</v>
      </c>
      <c r="I60" s="41" t="s">
        <v>444</v>
      </c>
      <c r="J60" s="10" t="s">
        <v>293</v>
      </c>
      <c r="K60" s="52" t="s">
        <v>318</v>
      </c>
      <c r="L60" s="10" t="s">
        <v>467</v>
      </c>
      <c r="M60" s="21" t="s">
        <v>6</v>
      </c>
    </row>
    <row r="61" spans="1:13" hidden="1" x14ac:dyDescent="0.3">
      <c r="A61" s="12">
        <v>293</v>
      </c>
      <c r="B61" s="19" t="s">
        <v>271</v>
      </c>
      <c r="C61" s="37"/>
      <c r="D61" s="37" t="s">
        <v>495</v>
      </c>
      <c r="E61" s="41" t="s">
        <v>129</v>
      </c>
      <c r="F61" s="10" t="s">
        <v>130</v>
      </c>
      <c r="G61" s="10"/>
      <c r="H61" s="30" t="s">
        <v>24</v>
      </c>
      <c r="I61" s="41" t="s">
        <v>444</v>
      </c>
      <c r="J61" s="56" t="s">
        <v>293</v>
      </c>
      <c r="K61" s="52" t="s">
        <v>318</v>
      </c>
      <c r="L61" s="10" t="s">
        <v>467</v>
      </c>
      <c r="M61" s="21" t="s">
        <v>6</v>
      </c>
    </row>
    <row r="62" spans="1:13" x14ac:dyDescent="0.3">
      <c r="A62" s="12">
        <v>366</v>
      </c>
      <c r="B62" s="19" t="s">
        <v>271</v>
      </c>
      <c r="C62" s="37"/>
      <c r="D62" s="37"/>
      <c r="E62" s="41" t="s">
        <v>150</v>
      </c>
      <c r="F62" s="52" t="s">
        <v>496</v>
      </c>
      <c r="G62" s="10" t="s">
        <v>97</v>
      </c>
      <c r="H62" s="57">
        <v>36596</v>
      </c>
      <c r="I62" s="41" t="s">
        <v>444</v>
      </c>
      <c r="J62" s="56" t="s">
        <v>293</v>
      </c>
      <c r="K62" s="52" t="s">
        <v>318</v>
      </c>
      <c r="L62" s="10" t="s">
        <v>467</v>
      </c>
      <c r="M62" s="21" t="s">
        <v>6</v>
      </c>
    </row>
    <row r="63" spans="1:13" hidden="1" x14ac:dyDescent="0.3">
      <c r="A63" s="12">
        <v>420</v>
      </c>
      <c r="B63" s="19" t="s">
        <v>271</v>
      </c>
      <c r="C63" s="37"/>
      <c r="D63" s="37"/>
      <c r="E63" s="41" t="s">
        <v>152</v>
      </c>
      <c r="F63" s="10" t="s">
        <v>153</v>
      </c>
      <c r="G63" s="10"/>
      <c r="H63" s="30" t="s">
        <v>151</v>
      </c>
      <c r="I63" s="55" t="s">
        <v>33</v>
      </c>
      <c r="J63" s="10" t="s">
        <v>290</v>
      </c>
      <c r="K63" s="10" t="s">
        <v>10</v>
      </c>
      <c r="L63" s="10" t="s">
        <v>467</v>
      </c>
      <c r="M63" s="21" t="s">
        <v>6</v>
      </c>
    </row>
    <row r="64" spans="1:13" hidden="1" x14ac:dyDescent="0.3">
      <c r="A64" s="12">
        <v>456</v>
      </c>
      <c r="B64" s="19" t="s">
        <v>271</v>
      </c>
      <c r="C64" s="37"/>
      <c r="D64" s="37"/>
      <c r="E64" s="41" t="s">
        <v>159</v>
      </c>
      <c r="F64" s="10" t="s">
        <v>160</v>
      </c>
      <c r="G64" s="10"/>
      <c r="H64" s="57"/>
      <c r="I64" s="41" t="s">
        <v>444</v>
      </c>
      <c r="J64" s="10" t="s">
        <v>290</v>
      </c>
      <c r="K64" s="10" t="s">
        <v>14</v>
      </c>
      <c r="L64" s="10" t="s">
        <v>467</v>
      </c>
      <c r="M64" s="21" t="s">
        <v>6</v>
      </c>
    </row>
    <row r="65" spans="1:18" hidden="1" x14ac:dyDescent="0.3">
      <c r="A65" s="12">
        <v>471</v>
      </c>
      <c r="B65" s="19" t="s">
        <v>271</v>
      </c>
      <c r="C65" s="37"/>
      <c r="D65" s="37"/>
      <c r="E65" s="41" t="s">
        <v>161</v>
      </c>
      <c r="F65" s="10" t="s">
        <v>162</v>
      </c>
      <c r="G65" s="10" t="s">
        <v>104</v>
      </c>
      <c r="H65" s="30" t="s">
        <v>163</v>
      </c>
      <c r="I65" s="41" t="s">
        <v>444</v>
      </c>
      <c r="J65" s="56" t="s">
        <v>293</v>
      </c>
      <c r="K65" s="52" t="s">
        <v>318</v>
      </c>
      <c r="L65" s="10" t="s">
        <v>467</v>
      </c>
      <c r="M65" s="21" t="s">
        <v>6</v>
      </c>
    </row>
    <row r="66" spans="1:18" hidden="1" x14ac:dyDescent="0.3">
      <c r="A66" s="12">
        <v>494</v>
      </c>
      <c r="B66" s="19" t="s">
        <v>271</v>
      </c>
      <c r="C66" s="37"/>
      <c r="D66" s="37"/>
      <c r="E66" s="41" t="s">
        <v>164</v>
      </c>
      <c r="F66" s="10" t="s">
        <v>165</v>
      </c>
      <c r="G66" s="10"/>
      <c r="H66" s="30" t="s">
        <v>24</v>
      </c>
      <c r="I66" s="41" t="s">
        <v>444</v>
      </c>
      <c r="J66" s="10" t="s">
        <v>292</v>
      </c>
      <c r="K66" s="10" t="s">
        <v>311</v>
      </c>
      <c r="L66" s="10" t="s">
        <v>467</v>
      </c>
      <c r="M66" s="21" t="s">
        <v>6</v>
      </c>
    </row>
    <row r="67" spans="1:18" hidden="1" x14ac:dyDescent="0.3">
      <c r="A67" s="39">
        <v>513</v>
      </c>
      <c r="B67" s="19" t="s">
        <v>271</v>
      </c>
      <c r="C67" s="38"/>
      <c r="D67" s="38"/>
      <c r="E67" s="41" t="s">
        <v>166</v>
      </c>
      <c r="F67" s="31" t="s">
        <v>167</v>
      </c>
      <c r="G67" s="31"/>
      <c r="H67" s="59" t="s">
        <v>24</v>
      </c>
      <c r="I67" s="41" t="s">
        <v>444</v>
      </c>
      <c r="J67" s="10" t="s">
        <v>292</v>
      </c>
      <c r="K67" s="10" t="s">
        <v>311</v>
      </c>
      <c r="L67" s="10" t="s">
        <v>467</v>
      </c>
      <c r="M67" s="21" t="s">
        <v>6</v>
      </c>
    </row>
    <row r="68" spans="1:18" hidden="1" x14ac:dyDescent="0.3">
      <c r="A68" s="39">
        <v>538</v>
      </c>
      <c r="B68" s="19" t="s">
        <v>271</v>
      </c>
      <c r="C68" s="38"/>
      <c r="D68" s="38"/>
      <c r="E68" s="41" t="s">
        <v>169</v>
      </c>
      <c r="F68" s="31" t="s">
        <v>170</v>
      </c>
      <c r="G68" s="31"/>
      <c r="H68" s="59" t="s">
        <v>24</v>
      </c>
      <c r="I68" s="41" t="s">
        <v>444</v>
      </c>
      <c r="J68" s="10" t="s">
        <v>292</v>
      </c>
      <c r="K68" s="10" t="s">
        <v>311</v>
      </c>
      <c r="L68" s="10" t="s">
        <v>467</v>
      </c>
      <c r="M68" s="21" t="s">
        <v>6</v>
      </c>
    </row>
    <row r="69" spans="1:18" hidden="1" x14ac:dyDescent="0.3">
      <c r="A69" s="13">
        <v>580</v>
      </c>
      <c r="B69" s="19" t="s">
        <v>271</v>
      </c>
      <c r="C69" s="37"/>
      <c r="D69" s="37"/>
      <c r="E69" s="41" t="s">
        <v>172</v>
      </c>
      <c r="F69" s="10" t="s">
        <v>173</v>
      </c>
      <c r="G69" s="10"/>
      <c r="H69" s="30" t="s">
        <v>88</v>
      </c>
      <c r="I69" s="55" t="s">
        <v>33</v>
      </c>
      <c r="J69" s="10" t="s">
        <v>290</v>
      </c>
      <c r="K69" s="10" t="s">
        <v>11</v>
      </c>
      <c r="L69" s="10" t="s">
        <v>467</v>
      </c>
      <c r="M69" s="21" t="s">
        <v>6</v>
      </c>
    </row>
    <row r="70" spans="1:18" x14ac:dyDescent="0.3">
      <c r="A70" s="12">
        <v>624</v>
      </c>
      <c r="B70" s="19" t="s">
        <v>271</v>
      </c>
      <c r="C70" s="37"/>
      <c r="D70" s="37"/>
      <c r="E70" s="41" t="s">
        <v>176</v>
      </c>
      <c r="F70" s="52" t="s">
        <v>497</v>
      </c>
      <c r="G70" s="52" t="s">
        <v>7</v>
      </c>
      <c r="H70" s="30" t="s">
        <v>177</v>
      </c>
      <c r="I70" s="41" t="s">
        <v>444</v>
      </c>
      <c r="J70" s="10" t="s">
        <v>290</v>
      </c>
      <c r="K70" s="10" t="s">
        <v>10</v>
      </c>
      <c r="L70" s="10" t="s">
        <v>467</v>
      </c>
      <c r="M70" s="21" t="s">
        <v>6</v>
      </c>
    </row>
    <row r="71" spans="1:18" x14ac:dyDescent="0.3">
      <c r="A71" s="12">
        <v>625</v>
      </c>
      <c r="B71" s="19" t="s">
        <v>271</v>
      </c>
      <c r="C71" s="37"/>
      <c r="D71" s="37"/>
      <c r="E71" s="41" t="s">
        <v>176</v>
      </c>
      <c r="F71" s="52" t="s">
        <v>257</v>
      </c>
      <c r="G71" s="52" t="s">
        <v>17</v>
      </c>
      <c r="H71" s="30" t="s">
        <v>178</v>
      </c>
      <c r="I71" s="41" t="s">
        <v>444</v>
      </c>
      <c r="J71" s="10" t="s">
        <v>290</v>
      </c>
      <c r="K71" s="10" t="s">
        <v>10</v>
      </c>
      <c r="L71" s="10" t="s">
        <v>467</v>
      </c>
      <c r="M71" s="21" t="s">
        <v>6</v>
      </c>
    </row>
    <row r="72" spans="1:18" hidden="1" x14ac:dyDescent="0.3">
      <c r="A72" s="12">
        <v>635</v>
      </c>
      <c r="B72" s="19" t="s">
        <v>271</v>
      </c>
      <c r="C72" s="22" t="s">
        <v>274</v>
      </c>
      <c r="D72" s="54" t="s">
        <v>499</v>
      </c>
      <c r="E72" s="41" t="s">
        <v>180</v>
      </c>
      <c r="F72" s="10" t="s">
        <v>181</v>
      </c>
      <c r="G72" s="10"/>
      <c r="H72" s="57"/>
      <c r="I72" s="41" t="s">
        <v>444</v>
      </c>
      <c r="J72" s="10" t="s">
        <v>290</v>
      </c>
      <c r="K72" s="10" t="s">
        <v>16</v>
      </c>
      <c r="L72" s="10" t="s">
        <v>467</v>
      </c>
      <c r="M72" s="21" t="s">
        <v>6</v>
      </c>
    </row>
    <row r="73" spans="1:18" ht="28.8" hidden="1" x14ac:dyDescent="0.3">
      <c r="A73" s="12">
        <v>636</v>
      </c>
      <c r="B73" s="19" t="s">
        <v>271</v>
      </c>
      <c r="C73" s="22" t="s">
        <v>274</v>
      </c>
      <c r="D73" s="54" t="s">
        <v>498</v>
      </c>
      <c r="E73" s="41" t="s">
        <v>182</v>
      </c>
      <c r="F73" s="10" t="s">
        <v>183</v>
      </c>
      <c r="G73" s="10"/>
      <c r="H73" s="57"/>
      <c r="I73" s="41" t="s">
        <v>444</v>
      </c>
      <c r="J73" s="56"/>
      <c r="K73" s="10" t="s">
        <v>16</v>
      </c>
      <c r="L73" s="10" t="s">
        <v>467</v>
      </c>
      <c r="M73" s="21" t="s">
        <v>6</v>
      </c>
    </row>
    <row r="74" spans="1:18" hidden="1" x14ac:dyDescent="0.3">
      <c r="A74" s="12">
        <v>637</v>
      </c>
      <c r="B74" s="19" t="s">
        <v>271</v>
      </c>
      <c r="C74" s="22" t="s">
        <v>274</v>
      </c>
      <c r="D74" s="54" t="s">
        <v>499</v>
      </c>
      <c r="E74" s="41" t="s">
        <v>184</v>
      </c>
      <c r="F74" s="10" t="s">
        <v>185</v>
      </c>
      <c r="G74" s="10"/>
      <c r="H74" s="57"/>
      <c r="I74" s="41" t="s">
        <v>444</v>
      </c>
      <c r="J74" s="10" t="s">
        <v>290</v>
      </c>
      <c r="K74" s="10" t="s">
        <v>16</v>
      </c>
      <c r="L74" s="10" t="s">
        <v>467</v>
      </c>
      <c r="M74" s="21" t="s">
        <v>6</v>
      </c>
    </row>
    <row r="75" spans="1:18" hidden="1" x14ac:dyDescent="0.3">
      <c r="A75" s="12">
        <v>638</v>
      </c>
      <c r="B75" s="19" t="s">
        <v>271</v>
      </c>
      <c r="C75" s="22" t="s">
        <v>274</v>
      </c>
      <c r="D75" s="54" t="s">
        <v>499</v>
      </c>
      <c r="E75" s="41" t="s">
        <v>186</v>
      </c>
      <c r="F75" s="10" t="s">
        <v>187</v>
      </c>
      <c r="G75" s="10"/>
      <c r="H75" s="57"/>
      <c r="I75" s="41" t="s">
        <v>444</v>
      </c>
      <c r="J75" s="10" t="s">
        <v>290</v>
      </c>
      <c r="K75" s="10" t="s">
        <v>16</v>
      </c>
      <c r="L75" s="10" t="s">
        <v>467</v>
      </c>
      <c r="M75" s="21" t="s">
        <v>6</v>
      </c>
    </row>
    <row r="76" spans="1:18" x14ac:dyDescent="0.3">
      <c r="A76" s="12">
        <v>639</v>
      </c>
      <c r="B76" s="19" t="s">
        <v>271</v>
      </c>
      <c r="C76" s="37" t="s">
        <v>274</v>
      </c>
      <c r="D76" s="37" t="s">
        <v>500</v>
      </c>
      <c r="E76" s="41" t="s">
        <v>188</v>
      </c>
      <c r="F76" s="52" t="s">
        <v>507</v>
      </c>
      <c r="G76" s="10" t="s">
        <v>98</v>
      </c>
      <c r="H76" s="30" t="s">
        <v>189</v>
      </c>
      <c r="I76" s="41" t="s">
        <v>444</v>
      </c>
      <c r="J76" s="56"/>
      <c r="K76" s="10" t="s">
        <v>16</v>
      </c>
      <c r="L76" s="10" t="s">
        <v>467</v>
      </c>
      <c r="M76" s="21" t="s">
        <v>6</v>
      </c>
    </row>
    <row r="77" spans="1:18" s="6" customFormat="1" hidden="1" x14ac:dyDescent="0.3">
      <c r="A77" s="13">
        <v>656</v>
      </c>
      <c r="B77" s="19" t="s">
        <v>271</v>
      </c>
      <c r="C77" s="37"/>
      <c r="D77" s="37"/>
      <c r="E77" s="41" t="s">
        <v>190</v>
      </c>
      <c r="F77" s="10" t="s">
        <v>66</v>
      </c>
      <c r="G77" s="10" t="s">
        <v>191</v>
      </c>
      <c r="H77" s="57">
        <v>38749</v>
      </c>
      <c r="I77" s="41" t="s">
        <v>444</v>
      </c>
      <c r="J77" s="10" t="s">
        <v>293</v>
      </c>
      <c r="K77" s="52" t="s">
        <v>318</v>
      </c>
      <c r="L77" s="10" t="s">
        <v>467</v>
      </c>
      <c r="M77" s="21" t="s">
        <v>6</v>
      </c>
      <c r="N77" s="8"/>
      <c r="O77" s="8"/>
      <c r="P77" s="8"/>
      <c r="Q77" s="8"/>
      <c r="R77" s="8"/>
    </row>
    <row r="78" spans="1:18" hidden="1" x14ac:dyDescent="0.3">
      <c r="A78" s="12">
        <v>693</v>
      </c>
      <c r="B78" s="19" t="s">
        <v>271</v>
      </c>
      <c r="C78" s="37"/>
      <c r="D78" s="37"/>
      <c r="E78" s="41" t="s">
        <v>192</v>
      </c>
      <c r="F78" s="10" t="s">
        <v>193</v>
      </c>
      <c r="G78" s="10"/>
      <c r="H78" s="30" t="s">
        <v>24</v>
      </c>
      <c r="I78" s="41" t="s">
        <v>444</v>
      </c>
      <c r="J78" s="10" t="s">
        <v>292</v>
      </c>
      <c r="K78" s="10" t="s">
        <v>311</v>
      </c>
      <c r="L78" s="10" t="s">
        <v>467</v>
      </c>
      <c r="M78" s="21" t="s">
        <v>6</v>
      </c>
    </row>
    <row r="79" spans="1:18" hidden="1" x14ac:dyDescent="0.3">
      <c r="A79" s="12">
        <v>694</v>
      </c>
      <c r="B79" s="19" t="s">
        <v>271</v>
      </c>
      <c r="C79" s="37"/>
      <c r="D79" s="37"/>
      <c r="E79" s="41" t="s">
        <v>194</v>
      </c>
      <c r="F79" s="10" t="s">
        <v>195</v>
      </c>
      <c r="G79" s="10"/>
      <c r="H79" s="30" t="s">
        <v>24</v>
      </c>
      <c r="I79" s="41" t="s">
        <v>444</v>
      </c>
      <c r="J79" s="10" t="s">
        <v>292</v>
      </c>
      <c r="K79" s="10" t="s">
        <v>311</v>
      </c>
      <c r="L79" s="10" t="s">
        <v>467</v>
      </c>
      <c r="M79" s="21" t="s">
        <v>6</v>
      </c>
    </row>
    <row r="80" spans="1:18" hidden="1" x14ac:dyDescent="0.3">
      <c r="A80" s="12">
        <v>695</v>
      </c>
      <c r="B80" s="19" t="s">
        <v>271</v>
      </c>
      <c r="C80" s="37"/>
      <c r="D80" s="37"/>
      <c r="E80" s="41" t="s">
        <v>196</v>
      </c>
      <c r="F80" s="10" t="s">
        <v>197</v>
      </c>
      <c r="G80" s="10"/>
      <c r="H80" s="30" t="s">
        <v>24</v>
      </c>
      <c r="I80" s="41" t="s">
        <v>444</v>
      </c>
      <c r="J80" s="10" t="s">
        <v>292</v>
      </c>
      <c r="K80" s="10" t="s">
        <v>311</v>
      </c>
      <c r="L80" s="10" t="s">
        <v>467</v>
      </c>
      <c r="M80" s="21" t="s">
        <v>6</v>
      </c>
    </row>
    <row r="81" spans="1:13" x14ac:dyDescent="0.3">
      <c r="A81" s="12">
        <v>700</v>
      </c>
      <c r="B81" s="19" t="s">
        <v>271</v>
      </c>
      <c r="C81" s="37"/>
      <c r="D81" s="37"/>
      <c r="E81" s="41" t="s">
        <v>198</v>
      </c>
      <c r="F81" s="52" t="s">
        <v>501</v>
      </c>
      <c r="G81" s="10" t="s">
        <v>32</v>
      </c>
      <c r="H81" s="30" t="s">
        <v>199</v>
      </c>
      <c r="I81" s="41" t="s">
        <v>444</v>
      </c>
      <c r="J81" s="10" t="s">
        <v>290</v>
      </c>
      <c r="K81" s="10" t="s">
        <v>14</v>
      </c>
      <c r="L81" s="10" t="s">
        <v>467</v>
      </c>
      <c r="M81" s="21" t="s">
        <v>6</v>
      </c>
    </row>
    <row r="82" spans="1:13" hidden="1" x14ac:dyDescent="0.3">
      <c r="A82" s="12">
        <v>726</v>
      </c>
      <c r="B82" s="19" t="s">
        <v>271</v>
      </c>
      <c r="C82" s="37"/>
      <c r="D82" s="37"/>
      <c r="E82" s="41" t="s">
        <v>200</v>
      </c>
      <c r="F82" s="10" t="s">
        <v>201</v>
      </c>
      <c r="G82" s="10"/>
      <c r="H82" s="30" t="s">
        <v>24</v>
      </c>
      <c r="I82" s="41" t="s">
        <v>444</v>
      </c>
      <c r="J82" s="10" t="s">
        <v>292</v>
      </c>
      <c r="K82" s="10" t="s">
        <v>311</v>
      </c>
      <c r="L82" s="10" t="s">
        <v>467</v>
      </c>
      <c r="M82" s="21" t="s">
        <v>6</v>
      </c>
    </row>
    <row r="83" spans="1:13" x14ac:dyDescent="0.3">
      <c r="A83" s="12">
        <v>731</v>
      </c>
      <c r="B83" s="19" t="s">
        <v>271</v>
      </c>
      <c r="C83" s="37"/>
      <c r="D83" s="37"/>
      <c r="E83" s="41" t="s">
        <v>202</v>
      </c>
      <c r="F83" s="52" t="s">
        <v>503</v>
      </c>
      <c r="G83" s="10" t="s">
        <v>99</v>
      </c>
      <c r="H83" s="57">
        <v>39072</v>
      </c>
      <c r="I83" s="41" t="s">
        <v>444</v>
      </c>
      <c r="J83" s="10" t="s">
        <v>290</v>
      </c>
      <c r="K83" s="10" t="s">
        <v>16</v>
      </c>
      <c r="L83" s="10" t="s">
        <v>467</v>
      </c>
      <c r="M83" s="21" t="s">
        <v>6</v>
      </c>
    </row>
    <row r="84" spans="1:13" hidden="1" x14ac:dyDescent="0.3">
      <c r="A84" s="12">
        <v>754</v>
      </c>
      <c r="B84" s="19" t="s">
        <v>271</v>
      </c>
      <c r="C84" s="37"/>
      <c r="D84" s="37"/>
      <c r="E84" s="41" t="s">
        <v>203</v>
      </c>
      <c r="F84" s="10" t="s">
        <v>204</v>
      </c>
      <c r="G84" s="10"/>
      <c r="H84" s="30" t="s">
        <v>24</v>
      </c>
      <c r="I84" s="41" t="s">
        <v>444</v>
      </c>
      <c r="J84" s="10" t="s">
        <v>292</v>
      </c>
      <c r="K84" s="10" t="s">
        <v>311</v>
      </c>
      <c r="L84" s="10" t="s">
        <v>467</v>
      </c>
      <c r="M84" s="21" t="s">
        <v>6</v>
      </c>
    </row>
    <row r="85" spans="1:13" x14ac:dyDescent="0.3">
      <c r="A85" s="12">
        <v>766</v>
      </c>
      <c r="B85" s="19" t="s">
        <v>271</v>
      </c>
      <c r="C85" s="37"/>
      <c r="D85" s="37"/>
      <c r="E85" s="41" t="s">
        <v>205</v>
      </c>
      <c r="F85" s="52" t="s">
        <v>258</v>
      </c>
      <c r="G85" s="10" t="s">
        <v>7</v>
      </c>
      <c r="H85" s="57">
        <v>37200</v>
      </c>
      <c r="I85" s="41" t="s">
        <v>444</v>
      </c>
      <c r="J85" s="10" t="s">
        <v>290</v>
      </c>
      <c r="K85" s="10" t="s">
        <v>14</v>
      </c>
      <c r="L85" s="10" t="s">
        <v>467</v>
      </c>
      <c r="M85" s="21" t="s">
        <v>6</v>
      </c>
    </row>
    <row r="86" spans="1:13" x14ac:dyDescent="0.3">
      <c r="A86" s="12">
        <v>786</v>
      </c>
      <c r="B86" s="19" t="s">
        <v>271</v>
      </c>
      <c r="C86" s="37"/>
      <c r="D86" s="37"/>
      <c r="E86" s="41" t="s">
        <v>209</v>
      </c>
      <c r="F86" s="52" t="s">
        <v>208</v>
      </c>
      <c r="G86" s="10" t="s">
        <v>19</v>
      </c>
      <c r="H86" s="30" t="s">
        <v>210</v>
      </c>
      <c r="I86" s="41" t="s">
        <v>444</v>
      </c>
      <c r="J86" s="10" t="s">
        <v>290</v>
      </c>
      <c r="K86" s="10" t="s">
        <v>84</v>
      </c>
      <c r="L86" s="10" t="s">
        <v>467</v>
      </c>
      <c r="M86" s="21" t="s">
        <v>6</v>
      </c>
    </row>
    <row r="87" spans="1:13" hidden="1" x14ac:dyDescent="0.3">
      <c r="A87" s="12">
        <v>793</v>
      </c>
      <c r="B87" s="19" t="s">
        <v>271</v>
      </c>
      <c r="C87" s="37"/>
      <c r="D87" s="37"/>
      <c r="E87" s="41" t="s">
        <v>211</v>
      </c>
      <c r="F87" s="10" t="s">
        <v>212</v>
      </c>
      <c r="G87" s="10"/>
      <c r="H87" s="30" t="s">
        <v>88</v>
      </c>
      <c r="I87" s="55" t="s">
        <v>33</v>
      </c>
      <c r="J87" s="10" t="s">
        <v>290</v>
      </c>
      <c r="K87" s="10" t="s">
        <v>93</v>
      </c>
      <c r="L87" s="10" t="s">
        <v>467</v>
      </c>
      <c r="M87" s="21" t="s">
        <v>6</v>
      </c>
    </row>
    <row r="88" spans="1:13" hidden="1" x14ac:dyDescent="0.3">
      <c r="A88" s="12">
        <v>798</v>
      </c>
      <c r="B88" s="19" t="s">
        <v>271</v>
      </c>
      <c r="C88" s="37" t="s">
        <v>274</v>
      </c>
      <c r="D88" s="37" t="s">
        <v>504</v>
      </c>
      <c r="E88" s="41" t="s">
        <v>217</v>
      </c>
      <c r="F88" s="10" t="s">
        <v>218</v>
      </c>
      <c r="G88" s="10"/>
      <c r="H88" s="30" t="s">
        <v>219</v>
      </c>
      <c r="I88" s="41" t="s">
        <v>444</v>
      </c>
      <c r="J88" s="56"/>
      <c r="K88" s="10" t="s">
        <v>11</v>
      </c>
      <c r="L88" s="10" t="s">
        <v>467</v>
      </c>
      <c r="M88" s="21" t="s">
        <v>6</v>
      </c>
    </row>
    <row r="89" spans="1:13" hidden="1" x14ac:dyDescent="0.3">
      <c r="A89" s="12">
        <v>799</v>
      </c>
      <c r="B89" s="19" t="s">
        <v>271</v>
      </c>
      <c r="C89" s="37" t="s">
        <v>274</v>
      </c>
      <c r="D89" s="37" t="s">
        <v>504</v>
      </c>
      <c r="E89" s="41" t="s">
        <v>220</v>
      </c>
      <c r="F89" s="10" t="s">
        <v>221</v>
      </c>
      <c r="G89" s="10"/>
      <c r="H89" s="30" t="s">
        <v>219</v>
      </c>
      <c r="I89" s="41" t="s">
        <v>444</v>
      </c>
      <c r="J89" s="56"/>
      <c r="K89" s="10" t="s">
        <v>11</v>
      </c>
      <c r="L89" s="10" t="s">
        <v>467</v>
      </c>
      <c r="M89" s="21" t="s">
        <v>6</v>
      </c>
    </row>
    <row r="90" spans="1:13" hidden="1" x14ac:dyDescent="0.3">
      <c r="A90" s="12">
        <v>802</v>
      </c>
      <c r="B90" s="19" t="s">
        <v>271</v>
      </c>
      <c r="C90" s="37"/>
      <c r="D90" s="37"/>
      <c r="E90" s="41" t="s">
        <v>222</v>
      </c>
      <c r="F90" s="10" t="s">
        <v>223</v>
      </c>
      <c r="G90" s="10"/>
      <c r="H90" s="30" t="s">
        <v>24</v>
      </c>
      <c r="I90" s="41" t="s">
        <v>444</v>
      </c>
      <c r="J90" s="10" t="s">
        <v>292</v>
      </c>
      <c r="K90" s="10" t="s">
        <v>311</v>
      </c>
      <c r="L90" s="10" t="s">
        <v>467</v>
      </c>
      <c r="M90" s="21" t="s">
        <v>6</v>
      </c>
    </row>
    <row r="91" spans="1:13" hidden="1" x14ac:dyDescent="0.3">
      <c r="A91" s="12">
        <v>803</v>
      </c>
      <c r="B91" s="19" t="s">
        <v>271</v>
      </c>
      <c r="C91" s="37"/>
      <c r="D91" s="37"/>
      <c r="E91" s="41" t="s">
        <v>224</v>
      </c>
      <c r="F91" s="10" t="s">
        <v>225</v>
      </c>
      <c r="G91" s="10"/>
      <c r="H91" s="30" t="s">
        <v>24</v>
      </c>
      <c r="I91" s="41" t="s">
        <v>444</v>
      </c>
      <c r="J91" s="10" t="s">
        <v>292</v>
      </c>
      <c r="K91" s="10" t="s">
        <v>311</v>
      </c>
      <c r="L91" s="10" t="s">
        <v>467</v>
      </c>
      <c r="M91" s="21" t="s">
        <v>6</v>
      </c>
    </row>
    <row r="92" spans="1:13" x14ac:dyDescent="0.3">
      <c r="A92" s="12">
        <v>849</v>
      </c>
      <c r="B92" s="19" t="s">
        <v>271</v>
      </c>
      <c r="C92" s="37"/>
      <c r="D92" s="37"/>
      <c r="E92" s="41" t="s">
        <v>229</v>
      </c>
      <c r="F92" s="52" t="s">
        <v>502</v>
      </c>
      <c r="G92" s="52"/>
      <c r="H92" s="30" t="s">
        <v>230</v>
      </c>
      <c r="I92" s="41" t="s">
        <v>444</v>
      </c>
      <c r="J92" s="10" t="s">
        <v>290</v>
      </c>
      <c r="K92" s="10" t="s">
        <v>93</v>
      </c>
      <c r="L92" s="10" t="s">
        <v>467</v>
      </c>
      <c r="M92" s="21" t="s">
        <v>6</v>
      </c>
    </row>
    <row r="93" spans="1:13" hidden="1" x14ac:dyDescent="0.3">
      <c r="A93" s="12">
        <v>853</v>
      </c>
      <c r="B93" s="19" t="s">
        <v>271</v>
      </c>
      <c r="C93" s="37" t="s">
        <v>274</v>
      </c>
      <c r="D93" s="37" t="s">
        <v>505</v>
      </c>
      <c r="E93" s="41" t="s">
        <v>232</v>
      </c>
      <c r="F93" s="10"/>
      <c r="G93" s="10"/>
      <c r="H93" s="30" t="s">
        <v>233</v>
      </c>
      <c r="I93" s="41" t="s">
        <v>444</v>
      </c>
      <c r="J93" s="10" t="s">
        <v>290</v>
      </c>
      <c r="K93" s="10" t="s">
        <v>100</v>
      </c>
      <c r="L93" s="10" t="s">
        <v>467</v>
      </c>
      <c r="M93" s="21" t="s">
        <v>6</v>
      </c>
    </row>
    <row r="94" spans="1:13" x14ac:dyDescent="0.3">
      <c r="A94" s="12">
        <v>854</v>
      </c>
      <c r="B94" s="19" t="s">
        <v>271</v>
      </c>
      <c r="C94" s="37"/>
      <c r="D94" s="37"/>
      <c r="E94" s="41" t="s">
        <v>232</v>
      </c>
      <c r="F94" s="52" t="s">
        <v>259</v>
      </c>
      <c r="G94" s="52"/>
      <c r="H94" s="30" t="s">
        <v>34</v>
      </c>
      <c r="I94" s="55" t="s">
        <v>33</v>
      </c>
      <c r="J94" s="10" t="s">
        <v>290</v>
      </c>
      <c r="K94" s="10" t="s">
        <v>100</v>
      </c>
      <c r="L94" s="10" t="s">
        <v>467</v>
      </c>
      <c r="M94" s="21" t="s">
        <v>6</v>
      </c>
    </row>
    <row r="95" spans="1:13" x14ac:dyDescent="0.3">
      <c r="A95" s="12">
        <v>855</v>
      </c>
      <c r="B95" s="19" t="s">
        <v>271</v>
      </c>
      <c r="C95" s="37"/>
      <c r="D95" s="37"/>
      <c r="E95" s="55" t="s">
        <v>260</v>
      </c>
      <c r="F95" s="52" t="s">
        <v>261</v>
      </c>
      <c r="G95" s="52"/>
      <c r="H95" s="30" t="s">
        <v>34</v>
      </c>
      <c r="I95" s="55" t="s">
        <v>33</v>
      </c>
      <c r="J95" s="10" t="s">
        <v>290</v>
      </c>
      <c r="K95" s="10" t="s">
        <v>100</v>
      </c>
      <c r="L95" s="10" t="s">
        <v>467</v>
      </c>
      <c r="M95" s="21" t="s">
        <v>6</v>
      </c>
    </row>
    <row r="96" spans="1:13" hidden="1" x14ac:dyDescent="0.3">
      <c r="A96" s="12">
        <v>887</v>
      </c>
      <c r="B96" s="19" t="s">
        <v>271</v>
      </c>
      <c r="C96" s="37" t="s">
        <v>274</v>
      </c>
      <c r="D96" s="37" t="s">
        <v>506</v>
      </c>
      <c r="E96" s="41" t="s">
        <v>237</v>
      </c>
      <c r="F96" s="10" t="s">
        <v>238</v>
      </c>
      <c r="G96" s="10"/>
      <c r="H96" s="30" t="s">
        <v>24</v>
      </c>
      <c r="I96" s="41" t="s">
        <v>444</v>
      </c>
      <c r="J96" s="10" t="s">
        <v>293</v>
      </c>
      <c r="K96" s="10"/>
      <c r="L96" s="10" t="s">
        <v>467</v>
      </c>
      <c r="M96" s="21" t="s">
        <v>6</v>
      </c>
    </row>
    <row r="97" spans="1:13" hidden="1" x14ac:dyDescent="0.3">
      <c r="A97" s="12">
        <v>927</v>
      </c>
      <c r="B97" s="19" t="s">
        <v>271</v>
      </c>
      <c r="C97" s="37"/>
      <c r="D97" s="37" t="s">
        <v>488</v>
      </c>
      <c r="E97" s="41" t="s">
        <v>242</v>
      </c>
      <c r="F97" s="10" t="s">
        <v>243</v>
      </c>
      <c r="G97" s="10"/>
      <c r="H97" s="30" t="s">
        <v>88</v>
      </c>
      <c r="I97" s="55" t="s">
        <v>33</v>
      </c>
      <c r="J97" s="10" t="s">
        <v>290</v>
      </c>
      <c r="K97" s="10" t="s">
        <v>14</v>
      </c>
      <c r="L97" s="10" t="s">
        <v>467</v>
      </c>
      <c r="M97" s="21" t="s">
        <v>6</v>
      </c>
    </row>
    <row r="98" spans="1:13" hidden="1" x14ac:dyDescent="0.3">
      <c r="A98" s="12">
        <v>954</v>
      </c>
      <c r="B98" s="19" t="s">
        <v>271</v>
      </c>
      <c r="C98" s="37"/>
      <c r="D98" s="37"/>
      <c r="E98" s="41" t="s">
        <v>246</v>
      </c>
      <c r="F98" s="10" t="s">
        <v>247</v>
      </c>
      <c r="G98" s="10"/>
      <c r="H98" s="30" t="s">
        <v>24</v>
      </c>
      <c r="I98" s="41" t="s">
        <v>444</v>
      </c>
      <c r="J98" s="10" t="s">
        <v>292</v>
      </c>
      <c r="K98" s="10" t="s">
        <v>311</v>
      </c>
      <c r="L98" s="10" t="s">
        <v>467</v>
      </c>
      <c r="M98" s="21" t="s">
        <v>6</v>
      </c>
    </row>
    <row r="99" spans="1:13" x14ac:dyDescent="0.3">
      <c r="E99" s="10"/>
    </row>
  </sheetData>
  <autoFilter ref="A4:M98">
    <filterColumn colId="5">
      <colorFilter dxfId="4"/>
    </filterColumn>
  </autoFilter>
  <conditionalFormatting sqref="F108:F1048576 F1:F4">
    <cfRule type="duplicateValues" dxfId="3" priority="2"/>
  </conditionalFormatting>
  <conditionalFormatting sqref="F46:F48 F52:F54 F56:F59 F61 F63:F69 F72:F82 F84 F86:F93 F96:F98">
    <cfRule type="duplicateValues" dxfId="2" priority="4"/>
  </conditionalFormatting>
  <dataValidations count="5">
    <dataValidation type="list" allowBlank="1" showInputMessage="1" showErrorMessage="1" sqref="L5:L98">
      <formula1>productgroup</formula1>
    </dataValidation>
    <dataValidation type="list" allowBlank="1" showInputMessage="1" showErrorMessage="1" sqref="K60:K62 K65 K77 K96">
      <formula1>techtypelist</formula1>
    </dataValidation>
    <dataValidation type="list" allowBlank="1" showInputMessage="1" showErrorMessage="1" sqref="K5 K8:K10 K12:K14 K16:K21 K23 K25 K27:K29 K32:K40">
      <formula1>dynotypes</formula1>
    </dataValidation>
    <dataValidation type="list" allowBlank="1" showInputMessage="1" showErrorMessage="1" sqref="J5:J98">
      <formula1>Arealist</formula1>
    </dataValidation>
    <dataValidation type="list" showInputMessage="1" showErrorMessage="1" sqref="I5:I98">
      <formula1>originatorlist</formula1>
    </dataValidation>
  </dataValidations>
  <hyperlinks>
    <hyperlink ref="A46" r:id="rId1" display="http://134.238.126.82:8080/tc/launchapp?-attach=true&amp;-s=226TCSession&amp;-o=0hexB9CnYG9iFA"/>
    <hyperlink ref="A12" r:id="rId2" display="http://134.238.126.82:8080/tc/launchapp?-attach=true&amp;-s=226TCSession&amp;-o=iFdxB9CnYG9iFA"/>
    <hyperlink ref="A47" r:id="rId3" display="http://134.238.126.82:8080/tc/launchapp?-attach=true&amp;-s=226TCSession&amp;-o=F6UxB9CnYG9iFA"/>
    <hyperlink ref="A8" r:id="rId4" display="http://134.238.126.82:8080/tc/launchapp?-attach=true&amp;-s=226TCSession&amp;-o=Y_axB9CnYG9iFA"/>
    <hyperlink ref="A9" r:id="rId5" display="http://134.238.126.82:8080/tc/launchapp?-attach=true&amp;-s=226TCSession&amp;-o=hvYxB9CnYG9iFA"/>
    <hyperlink ref="A10" r:id="rId6" display="http://134.238.126.82:8080/tc/launchapp?-attach=true&amp;-s=226TCSession&amp;-o=kWSxB9CnYG9iFA"/>
    <hyperlink ref="A16" r:id="rId7" display="http://134.238.126.82:8080/tc/launchapp?-attach=true&amp;-s=226TCSession&amp;-o=DKcxB9CnYG9iFA"/>
    <hyperlink ref="A17" r:id="rId8" display="http://134.238.126.82:8080/tc/launchapp?-attach=true&amp;-s=226TCSession&amp;-o=DaRxB9CnYG9iFA"/>
    <hyperlink ref="A18" r:id="rId9" display="http://134.238.126.82:8080/tc/launchapp?-attach=true&amp;-s=226TCSession&amp;-o=DybxB9CnYG9iFA"/>
    <hyperlink ref="A19" r:id="rId10" display="http://134.238.126.82:8080/tc/launchapp?-attach=true&amp;-s=226TCSession&amp;-o=l9UxB9CnYG9iFA"/>
    <hyperlink ref="A20" r:id="rId11" display="http://134.238.126.82:8080/tc/launchapp?-attach=true&amp;-s=226TCSession&amp;-o=DxVxB9CnYG9iFA"/>
    <hyperlink ref="A21" r:id="rId12" display="http://134.238.126.82:8080/tc/launchapp?-attach=true&amp;-s=226TCSession&amp;-o=TJfxB9CnYG9iFA"/>
    <hyperlink ref="A22" r:id="rId13" display="http://134.238.126.82:8080/tc/launchapp?-attach=true&amp;-s=226TCSession&amp;-o=EzexB9CnYG9iFA"/>
    <hyperlink ref="A23" r:id="rId14" display="http://134.238.126.82:8080/tc/launchapp?-attach=true&amp;-s=226TCSession&amp;-o=JNZxB9CnYG9iFA"/>
    <hyperlink ref="A24" r:id="rId15" display="http://134.238.126.82:8080/tc/launchapp?-attach=true&amp;-s=226TCSession&amp;-o=BxQxB9CnYG9iFA"/>
    <hyperlink ref="A25" r:id="rId16" display="http://134.238.126.82:8080/tc/launchapp?-attach=true&amp;-s=226TCSession&amp;-o=IaQxB9CnYG9iFA"/>
    <hyperlink ref="A26" r:id="rId17" display="http://134.238.126.82:8080/tc/launchapp?-attach=true&amp;-s=226TCSession&amp;-o=Q7XxB9CnYG9iFA"/>
    <hyperlink ref="A27" r:id="rId18" display="http://134.238.126.82:8080/tc/launchapp?-attach=true&amp;-s=226TCSession&amp;-o=ByUxfW83YG9iFA"/>
    <hyperlink ref="A38" r:id="rId19" display="http://134.238.126.82:8080/tc/launchapp?-attach=true&amp;-s=226TCSession&amp;-o=K3UxB9CnYG9iFA"/>
    <hyperlink ref="A39" r:id="rId20" display="http://134.238.126.82:8080/tc/launchapp?-attach=true&amp;-s=226TCSession&amp;-o=QvSxB9CnYG9iFA"/>
    <hyperlink ref="A40" r:id="rId21" display="http://134.238.126.82:8080/tc/launchapp?-attach=true&amp;-s=226TCSession&amp;-o=R9exB9CnYG9iFA"/>
    <hyperlink ref="A41" r:id="rId22" display="http://134.238.126.82:8080/tc/launchapp?-attach=true&amp;-s=226TCSession&amp;-o=1HexB9CnYG9iFA"/>
    <hyperlink ref="A42" r:id="rId23" display="http://134.238.126.82:8080/tc/launchapp?-attach=true&amp;-s=226TCSession&amp;-o=EZQxB9CnYG9iFA"/>
    <hyperlink ref="A48" r:id="rId24" display="http://134.238.126.82:8080/tc/launchapp?-attach=true&amp;-s=226TCSession&amp;-o=kcQxB9CnYG9iFA"/>
    <hyperlink ref="A49" r:id="rId25" display="http://134.238.126.82:8080/tc/launchapp?-attach=true&amp;-s=226TCSession&amp;-o=JbXxB9CnYG9iFA"/>
    <hyperlink ref="A50" r:id="rId26" display="http://134.238.126.82:8080/tc/launchapp?-attach=true&amp;-s=226TCSession&amp;-o=TsZxB9CnYG9iFA"/>
    <hyperlink ref="A51" r:id="rId27" display="http://134.238.126.82:8080/tc/launchapp?-attach=true&amp;-s=226TCSession&amp;-o=soWxB9CnYG9iFA"/>
    <hyperlink ref="A52" r:id="rId28" display="http://134.238.126.82:8080/tc/launchapp?-attach=true&amp;-s=226TCSession&amp;-o=yxVxB9CnYG9iFA"/>
    <hyperlink ref="A53" r:id="rId29" display="http://134.238.126.82:8080/tc/launchapp?-attach=true&amp;-s=226TCSession&amp;-o=z9XxB9CnYG9iFA"/>
    <hyperlink ref="A5" r:id="rId30" display="http://134.238.126.82:8080/tc/launchapp?-attach=true&amp;-s=226TCSession&amp;-o=n7RxB9CnYG9iFA"/>
    <hyperlink ref="A54" r:id="rId31" display="http://134.238.126.82:8080/tc/launchapp?-attach=true&amp;-s=226TCSession&amp;-o=VnYxB9CnYG9iFA"/>
    <hyperlink ref="A55" r:id="rId32" display="http://134.238.126.82:8080/tc/launchapp?-attach=true&amp;-s=226TCSession&amp;-o=BobxB9CnYG9iFA"/>
    <hyperlink ref="A43" r:id="rId33" display="http://134.238.126.82:8080/tc/launchapp?-attach=true&amp;-s=226TCSession&amp;-o=G8QxB9CnYG9iFA"/>
    <hyperlink ref="A56" r:id="rId34" display="http://134.238.126.82:8080/tc/launchapp?-attach=true&amp;-s=226TCSession&amp;-o=hyVxB9CnYG9iFA"/>
    <hyperlink ref="A57" r:id="rId35" display="http://134.238.126.82:8080/tc/launchapp?-attach=true&amp;-s=226TCSession&amp;-o=RWSxB9CnYG9iFA"/>
    <hyperlink ref="A58" r:id="rId36" display="http://134.238.126.82:8080/tc/launchapp?-attach=true&amp;-s=226TCSession&amp;-o=1qTxB9CnYG9iFA"/>
    <hyperlink ref="A59" r:id="rId37" display="http://134.238.126.82:8080/tc/launchapp?-attach=true&amp;-s=226TCSession&amp;-o=lyRxB9CnYG9iFA"/>
    <hyperlink ref="A60" r:id="rId38" display="http://134.238.126.82:8080/tc/launchapp?-attach=true&amp;-s=226TCSession&amp;-o=ESQxB9CnYG9iFA"/>
    <hyperlink ref="A28" r:id="rId39" display="http://134.238.126.82:8080/tc/launchapp?-attach=true&amp;-s=226TCSession&amp;-o=ngTxB9CnYG9iFA"/>
    <hyperlink ref="A29" r:id="rId40" display="http://134.238.126.82:8080/tc/launchapp?-attach=true&amp;-s=226TCSession&amp;-o=nsYxB9CnYG9iFA"/>
    <hyperlink ref="A61" r:id="rId41" display="http://134.238.126.82:8080/tc/launchapp?-attach=true&amp;-s=226TCSession&amp;-o=KYXxB9CnYG9iFA"/>
    <hyperlink ref="A13" r:id="rId42" display="http://134.238.126.82:8080/tc/launchapp?-attach=true&amp;-s=226TCSession&amp;-o=WfbxB9CnYG9iFA"/>
    <hyperlink ref="A6" r:id="rId43" display="http://134.238.126.82:8080/tc/launchapp?-attach=true&amp;-s=226TCSession&amp;-o=hGXxbVl8YG9iFA"/>
    <hyperlink ref="A7" r:id="rId44" display="http://134.238.126.82:8080/tc/launchapp?-attach=true&amp;-s=226TCSession&amp;-o=hXVxPdsPYG9iFA"/>
    <hyperlink ref="A30" r:id="rId45" display="http://134.238.126.82:8080/tc/launchapp?-attach=true&amp;-s=226TCSession&amp;-o=jDYxh1r6YG9iFA"/>
    <hyperlink ref="A31" r:id="rId46" display="http://134.238.126.82:8080/tc/launchapp?-attach=true&amp;-s=226TCSession&amp;-o=iEbxB9CnYG9iFA"/>
    <hyperlink ref="A62" r:id="rId47" display="http://134.238.126.82:8080/tc/launchapp?-attach=true&amp;-s=226TCSession&amp;-o=W7VxB9CnYG9iFA"/>
    <hyperlink ref="A63" r:id="rId48" display="http://134.238.126.82:8080/tc/launchapp?-attach=true&amp;-s=226TCSession&amp;-o=1kbxB9CnYG9iFA"/>
    <hyperlink ref="A32" r:id="rId49" display="http://134.238.126.82:8080/tc/launchapp?-attach=true&amp;-s=226TCSession&amp;-o=TedxB9CnYG9iFA"/>
    <hyperlink ref="A33" r:id="rId50" display="http://134.238.126.82:8080/tc/launchapp?-attach=true&amp;-s=226TCSession&amp;-o=jWRxB9CnYG9iFA"/>
    <hyperlink ref="A64" r:id="rId51" display="http://134.238.126.82:8080/tc/launchapp?-attach=true&amp;-s=226TCSession&amp;-o=W5cxB9CnYG9iFA"/>
    <hyperlink ref="A65" r:id="rId52" display="http://134.238.126.82:8080/tc/launchapp?-attach=true&amp;-s=226TCSession&amp;-o=F9RxB9CnYG9iFA"/>
    <hyperlink ref="A66" r:id="rId53" display="http://134.238.126.82:8080/tc/launchapp?-attach=true&amp;-s=226TCSession&amp;-o=50UxB9CnYG9iFA"/>
    <hyperlink ref="A69" r:id="rId54" display="http://134.238.126.82:8080/tc/launchapp?-attach=true&amp;-s=226TCSession&amp;-o=SvSxB9CnYG9iFA"/>
    <hyperlink ref="A34" r:id="rId55" display="http://134.238.126.82:8080/tc/launchapp?-attach=true&amp;-s=226TCSession&amp;-o=i3TxB9CnYG9iFA"/>
    <hyperlink ref="A70" r:id="rId56" display="http://134.238.126.82:8080/tc/launchapp?-attach=true&amp;-s=226TCSession&amp;-o=4iUxB9CnYG9iFA"/>
    <hyperlink ref="A71" r:id="rId57" display="http://134.238.126.82:8080/tc/launchapp?-attach=true&amp;-s=226TCSession&amp;-o=HpYxB9CnYG9iFA"/>
    <hyperlink ref="A72" r:id="rId58" display="http://134.238.126.82:8080/tc/launchapp?-attach=true&amp;-s=226TCSession&amp;-o=aCTxB9CnYG9iFA"/>
    <hyperlink ref="A73" r:id="rId59" display="http://134.238.126.82:8080/tc/launchapp?-attach=true&amp;-s=226TCSession&amp;-o=JEaxB9CnYG9iFA"/>
    <hyperlink ref="A74" r:id="rId60" display="http://134.238.126.82:8080/tc/launchapp?-attach=true&amp;-s=226TCSession&amp;-o=TgUxB9CnYG9iFA"/>
    <hyperlink ref="A75" r:id="rId61" display="http://134.238.126.82:8080/tc/launchapp?-attach=true&amp;-s=226TCSession&amp;-o=YOVxB9CnYG9iFA"/>
    <hyperlink ref="A76" r:id="rId62" display="http://134.238.126.82:8080/tc/launchapp?-attach=true&amp;-s=226TCSession&amp;-o=rURxB9CnYG9iFA"/>
    <hyperlink ref="A77" r:id="rId63" display="http://134.238.126.82:8080/tc/launchapp?-attach=true&amp;-s=226TCSession&amp;-o=EUexB9CnYG9iFA"/>
    <hyperlink ref="A78" r:id="rId64" display="http://134.238.126.82:8080/tc/launchapp?-attach=true&amp;-s=226TCSession&amp;-o=aXRxB9CnYG9iFA"/>
    <hyperlink ref="A79" r:id="rId65" display="http://134.238.126.82:8080/tc/launchapp?-attach=true&amp;-s=226TCSession&amp;-o=nifxB9CnYG9iFA"/>
    <hyperlink ref="A80" r:id="rId66" display="http://134.238.126.82:8080/tc/launchapp?-attach=true&amp;-s=226TCSession&amp;-o=q0UxB9CnYG9iFA"/>
    <hyperlink ref="A81" r:id="rId67" display="http://134.238.126.82:8080/tc/launchapp?-attach=true&amp;-s=226TCSession&amp;-o=XTYxB9CnYG9iFA"/>
    <hyperlink ref="A82" r:id="rId68" display="http://134.238.126.82:8080/tc/launchapp?-attach=true&amp;-s=226TCSession&amp;-o=kiXxB9CnYG9iFA"/>
    <hyperlink ref="A83" r:id="rId69" display="http://134.238.126.82:8080/tc/launchapp?-attach=true&amp;-s=226TCSession&amp;-o=INYxB9CnYG9iFA"/>
    <hyperlink ref="A84" r:id="rId70" display="http://134.238.126.82:8080/tc/launchapp?-attach=true&amp;-s=226TCSession&amp;-o=ojRxB9CnYG9iFA"/>
    <hyperlink ref="A85" r:id="rId71" display="http://134.238.126.82:8080/tc/launchapp?-attach=true&amp;-s=226TCSession&amp;-o=HgQxB9CnYG9iFA"/>
    <hyperlink ref="A35" r:id="rId72" display="http://134.238.126.82:8080/tc/launchapp?-attach=true&amp;-s=226TCSession&amp;-o=yWdxB9CnYG9iFA"/>
    <hyperlink ref="A86" r:id="rId73" display="http://134.238.126.82:8080/tc/launchapp?-attach=true&amp;-s=226TCSession&amp;-o=C8fxB9CnYG9iFA"/>
    <hyperlink ref="A87" r:id="rId74" display="http://134.238.126.82:8080/tc/launchapp?-attach=true&amp;-s=226TCSession&amp;-o=Z9UxB9CnYG9iFA"/>
    <hyperlink ref="A14" r:id="rId75" display="http://134.238.126.82:8080/tc/launchapp?-attach=true&amp;-s=226TCSession&amp;-o=I1XxB9CnYG9iFA"/>
    <hyperlink ref="A36" r:id="rId76" display="http://134.238.126.82:8080/tc/launchapp?-attach=true&amp;-s=226TCSession&amp;-o=47VxB9CnYG9iFA"/>
    <hyperlink ref="A88" r:id="rId77" display="http://134.238.126.82:8080/tc/launchapp?-attach=true&amp;-s=226TCSession&amp;-o=ExaxB9CnYG9iFA"/>
    <hyperlink ref="A89" r:id="rId78" display="http://134.238.126.82:8080/tc/launchapp?-attach=true&amp;-s=226TCSession&amp;-o=2_VxB9CnYG9iFA"/>
    <hyperlink ref="A90" r:id="rId79" display="http://134.238.126.82:8080/tc/launchapp?-attach=true&amp;-s=226TCSession&amp;-o=BbdxB9CnYG9iFA"/>
    <hyperlink ref="A91" r:id="rId80" display="http://134.238.126.82:8080/tc/launchapp?-attach=true&amp;-s=226TCSession&amp;-o=EbUxB9CnYG9iFA"/>
    <hyperlink ref="A44" r:id="rId81" display="http://134.238.126.82:8080/tc/launchapp?-attach=true&amp;-s=226TCSession&amp;-o=KtVxB9CnYG9iFA"/>
    <hyperlink ref="A45" r:id="rId82" display="http://134.238.126.82:8080/tc/launchapp?-attach=true&amp;-s=226TCSession&amp;-o=y5dxx6W$YG9iFA"/>
    <hyperlink ref="A92" r:id="rId83" display="http://134.238.126.82:8080/tc/launchapp?-attach=true&amp;-s=226TCSession&amp;-o=qYaxB9CnYG9iFA"/>
    <hyperlink ref="A93" r:id="rId84" display="http://134.238.126.82:8080/tc/launchapp?-attach=true&amp;-s=226TCSession&amp;-o=GyTxB9CnYG9iFA"/>
    <hyperlink ref="A94" r:id="rId85" display="http://134.238.126.82:8080/tc/launchapp?-attach=true&amp;-s=226TCSession&amp;-o=LwSxB9CnYG9iFA"/>
    <hyperlink ref="A95" r:id="rId86" display="http://134.238.126.82:8080/tc/launchapp?-attach=true&amp;-s=226TCSession&amp;-o=mhWxB9CnYG9iFA"/>
    <hyperlink ref="A11" r:id="rId87" display="http://134.238.126.82:8080/tc/launchapp?-attach=true&amp;-s=226TCSession&amp;-o=BLZxAXAtYG9iFA"/>
    <hyperlink ref="A96" r:id="rId88" display="http://134.238.126.82:8080/tc/launchapp?-attach=true&amp;-s=226TCSession&amp;-o=pdWxB9CnYG9iFA"/>
    <hyperlink ref="A37" r:id="rId89" display="http://134.238.126.82:8080/tc/launchapp?-attach=true&amp;-s=226TCSession&amp;-o=h_axB9CnYG9iFA"/>
    <hyperlink ref="A97" r:id="rId90" display="http://134.238.126.82:8080/tc/launchapp?-attach=true&amp;-s=226TCSession&amp;-o=b8RxB9CnYG9iFA"/>
    <hyperlink ref="A15" r:id="rId91" display="http://134.238.126.82:8080/tc/launchapp?-attach=true&amp;-s=226TCSession&amp;-o=xDYxtTrqYG9iFA"/>
    <hyperlink ref="A98" r:id="rId92" display="http://134.238.126.82:8080/tc/launchapp?-attach=true&amp;-s=226TCSession&amp;-o=q7axB9CnYG9iFA"/>
    <hyperlink ref="A67" r:id="rId93" display="http://134.238.126.82:8080/tc/launchapp?-attach=true&amp;-s=226TCSession&amp;-o=m1TxB9CnYG9iFA"/>
    <hyperlink ref="A68" r:id="rId94" display="http://134.238.126.82:8080/tc/launchapp?-attach=true&amp;-s=226TCSession&amp;-o=VsbxB9CnYG9iFA"/>
  </hyperlinks>
  <pageMargins left="0.70866141732283472" right="0.70866141732283472" top="0.74803149606299213" bottom="0.74803149606299213" header="0.31496062992125984" footer="0.31496062992125984"/>
  <pageSetup paperSize="9" orientation="portrait" r:id="rId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outlinePr summaryBelow="0"/>
  </sheetPr>
  <dimension ref="A1:AA15"/>
  <sheetViews>
    <sheetView tabSelected="1" zoomScale="60" zoomScaleNormal="60" workbookViewId="0">
      <pane xSplit="6" ySplit="4" topLeftCell="W874" activePane="bottomRight" state="frozen"/>
      <selection pane="topRight" activeCell="C1" sqref="C1"/>
      <selection pane="bottomLeft" activeCell="A2" sqref="A2"/>
      <selection pane="bottomRight" activeCell="A10" sqref="A10:XFD958"/>
    </sheetView>
  </sheetViews>
  <sheetFormatPr defaultColWidth="9.109375" defaultRowHeight="14.4" x14ac:dyDescent="0.3"/>
  <cols>
    <col min="1" max="1" width="13.88671875" customWidth="1"/>
    <col min="2" max="2" width="9.44140625" customWidth="1"/>
    <col min="3" max="3" width="9.88671875" customWidth="1"/>
    <col min="4" max="4" width="12.33203125" style="9" customWidth="1"/>
    <col min="5" max="5" width="78.21875" style="9" customWidth="1"/>
    <col min="6" max="7" width="47.6640625" customWidth="1"/>
    <col min="8" max="8" width="47.6640625" style="9" customWidth="1"/>
    <col min="9" max="9" width="20" customWidth="1"/>
    <col min="10" max="10" width="21.88671875" customWidth="1"/>
    <col min="11" max="11" width="16.33203125" customWidth="1"/>
    <col min="12" max="12" width="26.88671875" bestFit="1" customWidth="1"/>
    <col min="13" max="13" width="15.44140625" style="9" bestFit="1" customWidth="1"/>
    <col min="14" max="14" width="18.44140625" customWidth="1"/>
    <col min="15" max="15" width="26.6640625" style="5" customWidth="1"/>
    <col min="16" max="16" width="29.6640625" style="5" customWidth="1"/>
    <col min="17" max="17" width="14.44140625" customWidth="1"/>
    <col min="18" max="18" width="18.33203125" bestFit="1" customWidth="1"/>
    <col min="19" max="19" width="30.33203125" bestFit="1" customWidth="1"/>
    <col min="20" max="23" width="16.6640625" customWidth="1"/>
    <col min="24" max="25" width="14.109375" customWidth="1"/>
    <col min="26" max="26" width="11.109375" style="4" customWidth="1"/>
  </cols>
  <sheetData>
    <row r="1" spans="1:2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</row>
    <row r="2" spans="1:27" x14ac:dyDescent="0.3">
      <c r="A2">
        <f>COUNTIF(B:B,"*x*")</f>
        <v>3</v>
      </c>
      <c r="C2">
        <f>COUNTIF(B:B,"*||*")</f>
        <v>1</v>
      </c>
      <c r="D2" s="9">
        <f>COUNTIF(B5:B15,"*na*")</f>
        <v>0</v>
      </c>
      <c r="F2">
        <f>COUNTIF(B:B,"*R*")</f>
        <v>2</v>
      </c>
      <c r="G2">
        <f>COUNTIF(B:B,"*atten*")</f>
        <v>0</v>
      </c>
      <c r="I2">
        <f>COUNTIF(B:B,"*???*")</f>
        <v>1</v>
      </c>
      <c r="J2">
        <f>(A2+C2+F2+G2)</f>
        <v>6</v>
      </c>
    </row>
    <row r="4" spans="1:27" s="3" customFormat="1" ht="30.75" customHeight="1" x14ac:dyDescent="0.3">
      <c r="A4" s="2" t="s">
        <v>248</v>
      </c>
      <c r="B4" s="14" t="s">
        <v>476</v>
      </c>
      <c r="C4" s="14" t="s">
        <v>270</v>
      </c>
      <c r="D4" s="17" t="s">
        <v>272</v>
      </c>
      <c r="E4" s="17" t="s">
        <v>273</v>
      </c>
      <c r="F4" s="14" t="s">
        <v>251</v>
      </c>
      <c r="G4" s="15" t="s">
        <v>480</v>
      </c>
      <c r="H4" s="17" t="s">
        <v>250</v>
      </c>
      <c r="I4" s="15" t="s">
        <v>481</v>
      </c>
      <c r="J4" s="14" t="s">
        <v>252</v>
      </c>
      <c r="K4" s="18" t="s">
        <v>482</v>
      </c>
      <c r="L4" s="14" t="s">
        <v>2</v>
      </c>
      <c r="M4" s="16" t="s">
        <v>483</v>
      </c>
      <c r="N4" s="14" t="s">
        <v>3</v>
      </c>
      <c r="O4" s="15" t="s">
        <v>484</v>
      </c>
      <c r="P4" s="15" t="s">
        <v>249</v>
      </c>
      <c r="Q4" s="14" t="s">
        <v>4</v>
      </c>
      <c r="R4" s="15" t="s">
        <v>289</v>
      </c>
      <c r="S4" s="14" t="s">
        <v>5</v>
      </c>
      <c r="T4" s="15" t="s">
        <v>308</v>
      </c>
      <c r="U4" s="15" t="s">
        <v>309</v>
      </c>
      <c r="V4" s="15" t="s">
        <v>472</v>
      </c>
      <c r="W4" s="15" t="s">
        <v>473</v>
      </c>
      <c r="X4" s="14" t="s">
        <v>0</v>
      </c>
      <c r="Y4" s="15" t="s">
        <v>471</v>
      </c>
      <c r="Z4" s="14" t="s">
        <v>1</v>
      </c>
    </row>
    <row r="5" spans="1:27" ht="12.6" customHeight="1" x14ac:dyDescent="0.3">
      <c r="A5" s="63">
        <v>144</v>
      </c>
      <c r="B5" s="47" t="s">
        <v>269</v>
      </c>
      <c r="C5" s="19" t="s">
        <v>271</v>
      </c>
      <c r="D5" s="19" t="s">
        <v>518</v>
      </c>
      <c r="E5" s="19"/>
      <c r="F5" s="41" t="s">
        <v>101</v>
      </c>
      <c r="G5" s="42"/>
      <c r="H5" s="10" t="s">
        <v>102</v>
      </c>
      <c r="I5" s="41"/>
      <c r="J5" s="10"/>
      <c r="K5" s="41"/>
      <c r="L5" s="20">
        <v>39022</v>
      </c>
      <c r="M5" s="41"/>
      <c r="N5" s="10" t="s">
        <v>103</v>
      </c>
      <c r="O5" s="41"/>
      <c r="P5" s="41" t="s">
        <v>103</v>
      </c>
      <c r="Q5" s="10" t="s">
        <v>9</v>
      </c>
      <c r="R5" s="10" t="s">
        <v>290</v>
      </c>
      <c r="S5" s="10" t="s">
        <v>20</v>
      </c>
      <c r="T5" s="10" t="s">
        <v>297</v>
      </c>
      <c r="U5" s="50"/>
      <c r="V5" s="50"/>
      <c r="W5" s="50"/>
      <c r="X5" s="10" t="s">
        <v>20</v>
      </c>
      <c r="Y5" s="10" t="s">
        <v>469</v>
      </c>
      <c r="Z5" s="21" t="s">
        <v>6</v>
      </c>
    </row>
    <row r="6" spans="1:27" x14ac:dyDescent="0.3">
      <c r="A6" s="7">
        <v>352</v>
      </c>
      <c r="B6" s="66" t="s">
        <v>519</v>
      </c>
      <c r="C6" s="19" t="s">
        <v>271</v>
      </c>
      <c r="D6" s="22" t="s">
        <v>474</v>
      </c>
      <c r="E6" s="19"/>
      <c r="F6" s="41" t="s">
        <v>135</v>
      </c>
      <c r="G6" s="33"/>
      <c r="H6" s="11" t="s">
        <v>140</v>
      </c>
      <c r="I6" s="11"/>
      <c r="J6" s="11" t="s">
        <v>137</v>
      </c>
      <c r="K6" s="11"/>
      <c r="L6" s="23" t="s">
        <v>141</v>
      </c>
      <c r="M6" s="23"/>
      <c r="N6" s="11" t="s">
        <v>103</v>
      </c>
      <c r="O6" s="41"/>
      <c r="P6" s="11"/>
      <c r="Q6" s="11" t="s">
        <v>9</v>
      </c>
      <c r="R6" s="10"/>
      <c r="S6" s="11" t="s">
        <v>69</v>
      </c>
      <c r="T6" s="10"/>
      <c r="U6" s="10"/>
      <c r="V6" s="32"/>
      <c r="W6" s="10"/>
      <c r="X6" s="11" t="s">
        <v>13</v>
      </c>
      <c r="Y6" s="10"/>
      <c r="Z6" s="24" t="s">
        <v>6</v>
      </c>
      <c r="AA6" s="8"/>
    </row>
    <row r="7" spans="1:27" x14ac:dyDescent="0.3">
      <c r="A7" s="7">
        <v>353</v>
      </c>
      <c r="B7" s="66" t="s">
        <v>519</v>
      </c>
      <c r="C7" s="19" t="s">
        <v>271</v>
      </c>
      <c r="D7" s="22" t="s">
        <v>474</v>
      </c>
      <c r="E7" s="19"/>
      <c r="F7" s="41" t="s">
        <v>135</v>
      </c>
      <c r="G7" s="33"/>
      <c r="H7" s="11" t="s">
        <v>140</v>
      </c>
      <c r="I7" s="11"/>
      <c r="J7" s="11" t="s">
        <v>137</v>
      </c>
      <c r="K7" s="11"/>
      <c r="L7" s="23" t="s">
        <v>142</v>
      </c>
      <c r="M7" s="23"/>
      <c r="N7" s="11" t="s">
        <v>103</v>
      </c>
      <c r="O7" s="41"/>
      <c r="P7" s="11"/>
      <c r="Q7" s="11" t="s">
        <v>9</v>
      </c>
      <c r="R7" s="10"/>
      <c r="S7" s="11" t="s">
        <v>69</v>
      </c>
      <c r="T7" s="10"/>
      <c r="U7" s="10"/>
      <c r="V7" s="32"/>
      <c r="W7" s="10"/>
      <c r="X7" s="11" t="s">
        <v>29</v>
      </c>
      <c r="Y7" s="10"/>
      <c r="Z7" s="24" t="s">
        <v>6</v>
      </c>
      <c r="AA7" s="8"/>
    </row>
    <row r="8" spans="1:27" ht="12.6" customHeight="1" x14ac:dyDescent="0.3">
      <c r="A8" s="62">
        <v>31</v>
      </c>
      <c r="B8" s="47" t="s">
        <v>269</v>
      </c>
      <c r="C8" s="19" t="s">
        <v>271</v>
      </c>
      <c r="D8" s="19"/>
      <c r="E8" s="19"/>
      <c r="F8" s="41" t="s">
        <v>38</v>
      </c>
      <c r="G8" s="41" t="s">
        <v>38</v>
      </c>
      <c r="H8" s="10" t="s">
        <v>66</v>
      </c>
      <c r="I8" s="41"/>
      <c r="J8" s="10"/>
      <c r="K8" s="41"/>
      <c r="L8" s="20" t="s">
        <v>66</v>
      </c>
      <c r="M8" s="41"/>
      <c r="N8" s="10" t="s">
        <v>39</v>
      </c>
      <c r="O8" s="41"/>
      <c r="P8" s="10" t="s">
        <v>39</v>
      </c>
      <c r="Q8" s="10" t="s">
        <v>9</v>
      </c>
      <c r="R8" s="10" t="s">
        <v>290</v>
      </c>
      <c r="S8" s="10" t="s">
        <v>10</v>
      </c>
      <c r="T8" s="10" t="s">
        <v>300</v>
      </c>
      <c r="U8" s="50"/>
      <c r="V8" s="51"/>
      <c r="W8" s="50"/>
      <c r="X8" s="10" t="s">
        <v>514</v>
      </c>
      <c r="Y8" s="10" t="s">
        <v>467</v>
      </c>
      <c r="Z8" s="21" t="s">
        <v>6</v>
      </c>
    </row>
    <row r="9" spans="1:27" x14ac:dyDescent="0.3">
      <c r="A9" s="62">
        <v>34</v>
      </c>
      <c r="B9" s="65" t="s">
        <v>517</v>
      </c>
      <c r="C9" s="19" t="s">
        <v>271</v>
      </c>
      <c r="D9" s="19"/>
      <c r="E9" s="64" t="s">
        <v>515</v>
      </c>
      <c r="F9" s="41" t="s">
        <v>41</v>
      </c>
      <c r="G9" s="42"/>
      <c r="H9" s="25" t="s">
        <v>66</v>
      </c>
      <c r="I9" s="41" t="s">
        <v>516</v>
      </c>
      <c r="J9" s="10"/>
      <c r="K9" s="41"/>
      <c r="L9" s="20" t="s">
        <v>66</v>
      </c>
      <c r="M9" s="41"/>
      <c r="N9" s="10" t="s">
        <v>39</v>
      </c>
      <c r="O9" s="41"/>
      <c r="P9" s="10" t="s">
        <v>39</v>
      </c>
      <c r="Q9" s="10" t="s">
        <v>9</v>
      </c>
      <c r="R9" s="10" t="s">
        <v>290</v>
      </c>
      <c r="S9" s="10" t="s">
        <v>40</v>
      </c>
      <c r="T9" s="10" t="s">
        <v>296</v>
      </c>
      <c r="U9" s="50"/>
      <c r="V9" s="51"/>
      <c r="W9" s="50"/>
      <c r="X9" s="10" t="s">
        <v>514</v>
      </c>
      <c r="Y9" s="10" t="s">
        <v>467</v>
      </c>
      <c r="Z9" s="21" t="s">
        <v>6</v>
      </c>
    </row>
    <row r="10" spans="1:27" ht="15.6" hidden="1" customHeight="1" x14ac:dyDescent="0.3">
      <c r="A10" s="12">
        <v>35</v>
      </c>
      <c r="B10" s="39"/>
      <c r="C10" s="19" t="s">
        <v>271</v>
      </c>
      <c r="D10" s="22" t="s">
        <v>474</v>
      </c>
      <c r="E10" s="22" t="s">
        <v>277</v>
      </c>
      <c r="F10" s="41" t="s">
        <v>42</v>
      </c>
      <c r="G10" s="36"/>
      <c r="H10" s="10" t="s">
        <v>43</v>
      </c>
      <c r="I10" s="10"/>
      <c r="J10" s="10" t="s">
        <v>19</v>
      </c>
      <c r="K10" s="10"/>
      <c r="L10" s="20" t="s">
        <v>44</v>
      </c>
      <c r="M10" s="35"/>
      <c r="N10" s="10" t="s">
        <v>25</v>
      </c>
      <c r="O10" s="41"/>
      <c r="P10" s="10"/>
      <c r="Q10" s="10" t="s">
        <v>9</v>
      </c>
      <c r="R10" s="10"/>
      <c r="S10" s="10" t="s">
        <v>10</v>
      </c>
      <c r="T10" s="10"/>
      <c r="U10" s="10"/>
      <c r="V10" s="32"/>
      <c r="W10" s="10"/>
      <c r="X10" s="10" t="s">
        <v>8</v>
      </c>
      <c r="Y10" s="10"/>
      <c r="Z10" s="21" t="s">
        <v>6</v>
      </c>
    </row>
    <row r="11" spans="1:27" hidden="1" x14ac:dyDescent="0.3">
      <c r="A11" s="12">
        <v>36</v>
      </c>
      <c r="B11" s="39"/>
      <c r="C11" s="19" t="s">
        <v>271</v>
      </c>
      <c r="D11" s="22" t="s">
        <v>474</v>
      </c>
      <c r="E11" s="22" t="s">
        <v>277</v>
      </c>
      <c r="F11" s="41" t="s">
        <v>45</v>
      </c>
      <c r="G11" s="36"/>
      <c r="H11" s="10" t="s">
        <v>46</v>
      </c>
      <c r="I11" s="10"/>
      <c r="J11" s="10" t="s">
        <v>19</v>
      </c>
      <c r="K11" s="10"/>
      <c r="L11" s="20" t="s">
        <v>44</v>
      </c>
      <c r="M11" s="35"/>
      <c r="N11" s="10" t="s">
        <v>25</v>
      </c>
      <c r="O11" s="41"/>
      <c r="P11" s="10"/>
      <c r="Q11" s="10" t="s">
        <v>9</v>
      </c>
      <c r="R11" s="10"/>
      <c r="S11" s="10" t="s">
        <v>30</v>
      </c>
      <c r="T11" s="10"/>
      <c r="U11" s="10"/>
      <c r="V11" s="32"/>
      <c r="W11" s="10"/>
      <c r="X11" s="10" t="s">
        <v>8</v>
      </c>
      <c r="Y11" s="10"/>
      <c r="Z11" s="21" t="s">
        <v>6</v>
      </c>
    </row>
    <row r="12" spans="1:27" hidden="1" x14ac:dyDescent="0.3">
      <c r="A12" s="12">
        <v>351</v>
      </c>
      <c r="B12" s="39"/>
      <c r="C12" s="19" t="s">
        <v>271</v>
      </c>
      <c r="D12" s="22" t="s">
        <v>474</v>
      </c>
      <c r="E12" s="37"/>
      <c r="F12" s="41" t="s">
        <v>135</v>
      </c>
      <c r="G12" s="36"/>
      <c r="H12" s="10" t="s">
        <v>136</v>
      </c>
      <c r="I12" s="10" t="s">
        <v>171</v>
      </c>
      <c r="J12" s="10" t="s">
        <v>137</v>
      </c>
      <c r="K12" s="10" t="s">
        <v>171</v>
      </c>
      <c r="L12" s="20" t="s">
        <v>138</v>
      </c>
      <c r="M12" s="35" t="s">
        <v>171</v>
      </c>
      <c r="N12" s="10" t="s">
        <v>25</v>
      </c>
      <c r="O12" s="41"/>
      <c r="P12" s="10" t="s">
        <v>262</v>
      </c>
      <c r="Q12" s="10" t="s">
        <v>9</v>
      </c>
      <c r="R12" s="10"/>
      <c r="S12" s="10" t="s">
        <v>15</v>
      </c>
      <c r="T12" s="10"/>
      <c r="U12" s="10"/>
      <c r="V12" s="32"/>
      <c r="W12" s="10"/>
      <c r="X12" s="10" t="s">
        <v>139</v>
      </c>
      <c r="Y12" s="10"/>
      <c r="Z12" s="21" t="s">
        <v>6</v>
      </c>
    </row>
    <row r="13" spans="1:27" hidden="1" x14ac:dyDescent="0.3">
      <c r="A13" s="12">
        <v>355</v>
      </c>
      <c r="B13" s="39"/>
      <c r="C13" s="19" t="s">
        <v>271</v>
      </c>
      <c r="D13" s="22" t="s">
        <v>474</v>
      </c>
      <c r="E13" s="22" t="s">
        <v>265</v>
      </c>
      <c r="F13" s="41" t="s">
        <v>146</v>
      </c>
      <c r="G13" s="36"/>
      <c r="H13" s="10" t="s">
        <v>147</v>
      </c>
      <c r="I13" s="10"/>
      <c r="J13" s="10" t="s">
        <v>137</v>
      </c>
      <c r="K13" s="10"/>
      <c r="L13" s="20" t="s">
        <v>148</v>
      </c>
      <c r="M13" s="35"/>
      <c r="N13" s="10" t="s">
        <v>25</v>
      </c>
      <c r="O13" s="41"/>
      <c r="P13" s="10"/>
      <c r="Q13" s="10" t="s">
        <v>15</v>
      </c>
      <c r="R13" s="10"/>
      <c r="S13" s="10" t="s">
        <v>69</v>
      </c>
      <c r="T13" s="10"/>
      <c r="U13" s="10"/>
      <c r="V13" s="32"/>
      <c r="W13" s="10"/>
      <c r="X13" s="10" t="s">
        <v>13</v>
      </c>
      <c r="Y13" s="10"/>
      <c r="Z13" s="21"/>
    </row>
    <row r="14" spans="1:27" hidden="1" x14ac:dyDescent="0.3">
      <c r="A14" s="12">
        <v>851</v>
      </c>
      <c r="B14" s="39"/>
      <c r="C14" s="19" t="s">
        <v>271</v>
      </c>
      <c r="D14" s="37" t="s">
        <v>275</v>
      </c>
      <c r="E14" s="37"/>
      <c r="F14" s="41" t="s">
        <v>231</v>
      </c>
      <c r="G14" s="41" t="s">
        <v>234</v>
      </c>
      <c r="H14" s="34" t="s">
        <v>133</v>
      </c>
      <c r="I14" s="26" t="s">
        <v>253</v>
      </c>
      <c r="J14" s="10" t="s">
        <v>113</v>
      </c>
      <c r="K14" s="10"/>
      <c r="L14" s="20" t="s">
        <v>134</v>
      </c>
      <c r="M14" s="20"/>
      <c r="N14" s="10" t="s">
        <v>18</v>
      </c>
      <c r="O14" s="41"/>
      <c r="P14" s="10" t="s">
        <v>18</v>
      </c>
      <c r="Q14" s="10" t="s">
        <v>9</v>
      </c>
      <c r="R14" s="10"/>
      <c r="S14" s="10" t="s">
        <v>100</v>
      </c>
      <c r="T14" s="10"/>
      <c r="U14" s="10"/>
      <c r="V14" s="32"/>
      <c r="W14" s="10"/>
      <c r="X14" s="10" t="s">
        <v>29</v>
      </c>
      <c r="Y14" s="10"/>
      <c r="Z14" s="21" t="s">
        <v>6</v>
      </c>
    </row>
    <row r="15" spans="1:27" hidden="1" x14ac:dyDescent="0.3">
      <c r="A15" s="12">
        <v>856</v>
      </c>
      <c r="B15" s="39"/>
      <c r="C15" s="19" t="s">
        <v>271</v>
      </c>
      <c r="D15" s="37" t="s">
        <v>275</v>
      </c>
      <c r="E15" s="37"/>
      <c r="F15" s="41" t="s">
        <v>234</v>
      </c>
      <c r="G15" s="41" t="s">
        <v>234</v>
      </c>
      <c r="H15" s="34" t="s">
        <v>133</v>
      </c>
      <c r="I15" s="26" t="s">
        <v>253</v>
      </c>
      <c r="J15" s="10" t="s">
        <v>113</v>
      </c>
      <c r="K15" s="26" t="s">
        <v>254</v>
      </c>
      <c r="L15" s="20" t="s">
        <v>134</v>
      </c>
      <c r="M15" s="20"/>
      <c r="N15" s="10" t="s">
        <v>18</v>
      </c>
      <c r="O15" s="41"/>
      <c r="P15" s="10" t="s">
        <v>18</v>
      </c>
      <c r="Q15" s="10" t="s">
        <v>9</v>
      </c>
      <c r="R15" s="10"/>
      <c r="S15" s="10" t="s">
        <v>100</v>
      </c>
      <c r="T15" s="10"/>
      <c r="U15" s="10"/>
      <c r="V15" s="32"/>
      <c r="W15" s="10"/>
      <c r="X15" s="10" t="s">
        <v>29</v>
      </c>
      <c r="Y15" s="10"/>
      <c r="Z15" s="21" t="s">
        <v>6</v>
      </c>
    </row>
  </sheetData>
  <autoFilter ref="A4:Z15">
    <filterColumn colId="3">
      <filters blank="1">
        <filter val="obsolete?"/>
        <filter val="remove. Duplicate"/>
        <filter val="remove? Duplicate FM122 spec #"/>
        <filter val="review JT"/>
        <filter val="Self check"/>
      </filters>
    </filterColumn>
    <sortState ref="A5:Z959">
      <sortCondition ref="N4"/>
    </sortState>
  </autoFilter>
  <conditionalFormatting sqref="H24:H1048576 H2:H4">
    <cfRule type="duplicateValues" dxfId="1" priority="3"/>
  </conditionalFormatting>
  <dataValidations disablePrompts="1" count="7">
    <dataValidation type="list" showInputMessage="1" showErrorMessage="1" sqref="P5:P8 O5:O9 O10:P15">
      <formula1>originatorlist</formula1>
    </dataValidation>
    <dataValidation type="list" allowBlank="1" showInputMessage="1" showErrorMessage="1" sqref="R5:R15">
      <formula1>Arealist</formula1>
    </dataValidation>
    <dataValidation type="list" allowBlank="1" showInputMessage="1" showErrorMessage="1" sqref="T5:T15">
      <formula1>dynotypes</formula1>
    </dataValidation>
    <dataValidation type="list" allowBlank="1" showInputMessage="1" showErrorMessage="1" sqref="U5:U15">
      <formula1>vehtypelist</formula1>
    </dataValidation>
    <dataValidation type="list" allowBlank="1" showInputMessage="1" showErrorMessage="1" sqref="V5:V15">
      <formula1>matlabtypelist</formula1>
    </dataValidation>
    <dataValidation type="list" allowBlank="1" showInputMessage="1" showErrorMessage="1" sqref="W5:W15">
      <formula1>techtypelist</formula1>
    </dataValidation>
    <dataValidation type="list" allowBlank="1" showInputMessage="1" showErrorMessage="1" sqref="Y5:Y15">
      <formula1>productgroup</formula1>
    </dataValidation>
  </dataValidations>
  <hyperlinks>
    <hyperlink ref="A6" r:id="rId1" display="http://134.238.126.82:8080/tc/launchapp?-attach=true&amp;-s=226TCSession&amp;-o=hGXxbVl8YG9iFA"/>
    <hyperlink ref="A7" r:id="rId2" display="http://134.238.126.82:8080/tc/launchapp?-attach=true&amp;-s=226TCSession&amp;-o=hXVxPdsPYG9iFA"/>
    <hyperlink ref="A5" r:id="rId3" location="/com.siemens.splm.clientfx.tcui.xrt.showObject?uid=n7RxB9CnYG9iFA" display="http://134.238.126.82:8080/awc/ - /com.siemens.splm.clientfx.tcui.xrt.showObject?uid=n7RxB9CnYG9iFA"/>
    <hyperlink ref="A8" r:id="rId4" location="/com.siemens.splm.clientfx.tcui.xrt.showObject?uid=Y_axB9CnYG9iFA" display="http://134.238.126.82:8080/awc/ - /com.siemens.splm.clientfx.tcui.xrt.showObject?uid=Y_axB9CnYG9iFA"/>
    <hyperlink ref="A9" r:id="rId5" location="/com.siemens.splm.clientfx.tcui.xrt.showObject?uid=hvYxB9CnYG9iFA" display="http://134.238.126.82:8080/awc/ - /com.siemens.splm.clientfx.tcui.xrt.showObject?uid=hvYxB9CnYG9iFA"/>
    <hyperlink ref="E9" r:id="rId6" location="/teamcenter.search.search?searchCriteria=Advics%20DTV%20test" display="http://134.238.126.82:8080/awc/#/teamcenter.search.search?searchCriteria=Advics%20DTV%20test"/>
  </hyperlinks>
  <pageMargins left="0.70866141732283472" right="0.70866141732283472" top="0.74803149606299213" bottom="0.74803149606299213" header="0.31496062992125984" footer="0.31496062992125984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7"/>
  <sheetViews>
    <sheetView showGridLines="0" workbookViewId="0">
      <selection activeCell="F2" sqref="F2"/>
    </sheetView>
  </sheetViews>
  <sheetFormatPr defaultColWidth="8.6640625" defaultRowHeight="14.4" x14ac:dyDescent="0.3"/>
  <cols>
    <col min="1" max="1" width="30.33203125" style="5" bestFit="1" customWidth="1"/>
    <col min="2" max="2" width="17.44140625" style="5" bestFit="1" customWidth="1"/>
    <col min="3" max="3" width="14.88671875" style="5" bestFit="1" customWidth="1"/>
    <col min="4" max="4" width="12.44140625" style="5" bestFit="1" customWidth="1"/>
    <col min="5" max="5" width="31" style="5" bestFit="1" customWidth="1"/>
    <col min="6" max="6" width="23.109375" style="5" customWidth="1"/>
    <col min="7" max="7" width="13.5546875" style="5" bestFit="1" customWidth="1"/>
  </cols>
  <sheetData>
    <row r="1" spans="1:7" ht="27.75" customHeight="1" x14ac:dyDescent="0.3">
      <c r="A1" s="40" t="s">
        <v>289</v>
      </c>
      <c r="B1" s="40" t="s">
        <v>308</v>
      </c>
      <c r="C1" s="40" t="s">
        <v>310</v>
      </c>
      <c r="D1" s="40" t="s">
        <v>309</v>
      </c>
      <c r="E1" s="40" t="s">
        <v>321</v>
      </c>
      <c r="F1" s="40" t="s">
        <v>3</v>
      </c>
      <c r="G1" s="40" t="s">
        <v>466</v>
      </c>
    </row>
    <row r="2" spans="1:7" x14ac:dyDescent="0.3">
      <c r="A2" s="5" t="s">
        <v>290</v>
      </c>
      <c r="B2" s="45" t="s">
        <v>301</v>
      </c>
      <c r="C2" s="43" t="s">
        <v>312</v>
      </c>
      <c r="D2" s="5" t="s">
        <v>306</v>
      </c>
      <c r="E2" s="5" t="s">
        <v>313</v>
      </c>
      <c r="F2" s="5" t="s">
        <v>103</v>
      </c>
      <c r="G2" s="5" t="s">
        <v>467</v>
      </c>
    </row>
    <row r="3" spans="1:7" x14ac:dyDescent="0.3">
      <c r="A3" s="5" t="s">
        <v>292</v>
      </c>
      <c r="B3" s="46" t="s">
        <v>306</v>
      </c>
      <c r="C3" s="43" t="s">
        <v>297</v>
      </c>
      <c r="D3" s="5" t="s">
        <v>302</v>
      </c>
      <c r="E3" s="5" t="s">
        <v>317</v>
      </c>
      <c r="F3" s="43" t="s">
        <v>322</v>
      </c>
      <c r="G3" s="5" t="s">
        <v>470</v>
      </c>
    </row>
    <row r="4" spans="1:7" x14ac:dyDescent="0.3">
      <c r="A4" s="5" t="s">
        <v>293</v>
      </c>
      <c r="B4" s="45" t="s">
        <v>297</v>
      </c>
      <c r="C4" s="43" t="s">
        <v>311</v>
      </c>
      <c r="D4" s="5" t="s">
        <v>305</v>
      </c>
      <c r="E4" s="5" t="s">
        <v>315</v>
      </c>
      <c r="F4" s="43" t="s">
        <v>323</v>
      </c>
      <c r="G4" s="5" t="s">
        <v>468</v>
      </c>
    </row>
    <row r="5" spans="1:7" x14ac:dyDescent="0.3">
      <c r="A5" s="5" t="s">
        <v>291</v>
      </c>
      <c r="B5" s="46" t="s">
        <v>294</v>
      </c>
      <c r="C5" s="43"/>
      <c r="D5" s="5" t="s">
        <v>298</v>
      </c>
      <c r="E5" s="5" t="s">
        <v>316</v>
      </c>
      <c r="F5" s="43" t="s">
        <v>324</v>
      </c>
      <c r="G5" s="5" t="s">
        <v>469</v>
      </c>
    </row>
    <row r="6" spans="1:7" x14ac:dyDescent="0.3">
      <c r="B6" s="46" t="s">
        <v>295</v>
      </c>
      <c r="C6" s="43"/>
      <c r="D6" s="5" t="s">
        <v>299</v>
      </c>
      <c r="E6" s="5" t="s">
        <v>320</v>
      </c>
      <c r="F6" s="43" t="s">
        <v>325</v>
      </c>
    </row>
    <row r="7" spans="1:7" x14ac:dyDescent="0.3">
      <c r="B7" s="45" t="s">
        <v>302</v>
      </c>
      <c r="C7" s="43"/>
      <c r="D7" s="5" t="s">
        <v>300</v>
      </c>
      <c r="E7" s="5" t="s">
        <v>318</v>
      </c>
      <c r="F7" s="43" t="s">
        <v>326</v>
      </c>
    </row>
    <row r="8" spans="1:7" x14ac:dyDescent="0.3">
      <c r="B8" s="46" t="s">
        <v>296</v>
      </c>
      <c r="C8" s="43"/>
      <c r="D8" s="5" t="s">
        <v>303</v>
      </c>
      <c r="E8" s="53" t="s">
        <v>513</v>
      </c>
      <c r="F8" s="5" t="s">
        <v>28</v>
      </c>
    </row>
    <row r="9" spans="1:7" x14ac:dyDescent="0.3">
      <c r="B9" s="46" t="s">
        <v>305</v>
      </c>
      <c r="C9" s="43"/>
      <c r="E9" s="5" t="s">
        <v>319</v>
      </c>
      <c r="F9" s="44" t="s">
        <v>327</v>
      </c>
    </row>
    <row r="10" spans="1:7" x14ac:dyDescent="0.3">
      <c r="B10" s="46" t="s">
        <v>307</v>
      </c>
      <c r="C10" s="43"/>
      <c r="E10" s="5" t="s">
        <v>314</v>
      </c>
      <c r="F10" s="43" t="s">
        <v>328</v>
      </c>
    </row>
    <row r="11" spans="1:7" x14ac:dyDescent="0.3">
      <c r="B11" s="46" t="s">
        <v>298</v>
      </c>
      <c r="F11" s="43" t="s">
        <v>329</v>
      </c>
    </row>
    <row r="12" spans="1:7" x14ac:dyDescent="0.3">
      <c r="B12" s="46" t="s">
        <v>299</v>
      </c>
      <c r="F12" s="5" t="s">
        <v>460</v>
      </c>
    </row>
    <row r="13" spans="1:7" x14ac:dyDescent="0.3">
      <c r="B13" s="46" t="s">
        <v>300</v>
      </c>
      <c r="F13" s="43" t="s">
        <v>330</v>
      </c>
    </row>
    <row r="14" spans="1:7" x14ac:dyDescent="0.3">
      <c r="B14" s="46" t="s">
        <v>303</v>
      </c>
      <c r="F14" s="43" t="s">
        <v>477</v>
      </c>
    </row>
    <row r="15" spans="1:7" x14ac:dyDescent="0.3">
      <c r="B15" s="46" t="s">
        <v>304</v>
      </c>
      <c r="F15" s="5" t="s">
        <v>443</v>
      </c>
    </row>
    <row r="16" spans="1:7" x14ac:dyDescent="0.3">
      <c r="F16" s="43" t="s">
        <v>331</v>
      </c>
    </row>
    <row r="17" spans="6:6" x14ac:dyDescent="0.3">
      <c r="F17" s="43" t="s">
        <v>332</v>
      </c>
    </row>
    <row r="18" spans="6:6" x14ac:dyDescent="0.3">
      <c r="F18" s="44" t="s">
        <v>333</v>
      </c>
    </row>
    <row r="19" spans="6:6" x14ac:dyDescent="0.3">
      <c r="F19" s="43" t="s">
        <v>334</v>
      </c>
    </row>
    <row r="20" spans="6:6" x14ac:dyDescent="0.3">
      <c r="F20" s="43" t="s">
        <v>335</v>
      </c>
    </row>
    <row r="21" spans="6:6" x14ac:dyDescent="0.3">
      <c r="F21" s="43" t="s">
        <v>336</v>
      </c>
    </row>
    <row r="22" spans="6:6" x14ac:dyDescent="0.3">
      <c r="F22" s="43" t="s">
        <v>337</v>
      </c>
    </row>
    <row r="23" spans="6:6" x14ac:dyDescent="0.3">
      <c r="F23" s="43" t="s">
        <v>72</v>
      </c>
    </row>
    <row r="24" spans="6:6" x14ac:dyDescent="0.3">
      <c r="F24" s="43" t="s">
        <v>338</v>
      </c>
    </row>
    <row r="25" spans="6:6" x14ac:dyDescent="0.3">
      <c r="F25" s="5" t="s">
        <v>444</v>
      </c>
    </row>
    <row r="26" spans="6:6" x14ac:dyDescent="0.3">
      <c r="F26" s="43" t="s">
        <v>47</v>
      </c>
    </row>
    <row r="27" spans="6:6" x14ac:dyDescent="0.3">
      <c r="F27" s="43" t="s">
        <v>339</v>
      </c>
    </row>
    <row r="28" spans="6:6" x14ac:dyDescent="0.3">
      <c r="F28" s="43" t="s">
        <v>340</v>
      </c>
    </row>
    <row r="29" spans="6:6" x14ac:dyDescent="0.3">
      <c r="F29" s="43" t="s">
        <v>341</v>
      </c>
    </row>
    <row r="30" spans="6:6" x14ac:dyDescent="0.3">
      <c r="F30" s="43" t="s">
        <v>342</v>
      </c>
    </row>
    <row r="31" spans="6:6" x14ac:dyDescent="0.3">
      <c r="F31" s="5" t="s">
        <v>461</v>
      </c>
    </row>
    <row r="32" spans="6:6" x14ac:dyDescent="0.3">
      <c r="F32" s="43" t="s">
        <v>343</v>
      </c>
    </row>
    <row r="33" spans="6:6" x14ac:dyDescent="0.3">
      <c r="F33" s="43" t="s">
        <v>344</v>
      </c>
    </row>
    <row r="34" spans="6:6" x14ac:dyDescent="0.3">
      <c r="F34" s="43" t="s">
        <v>345</v>
      </c>
    </row>
    <row r="35" spans="6:6" x14ac:dyDescent="0.3">
      <c r="F35" s="43" t="s">
        <v>33</v>
      </c>
    </row>
    <row r="36" spans="6:6" x14ac:dyDescent="0.3">
      <c r="F36" s="43" t="s">
        <v>346</v>
      </c>
    </row>
    <row r="37" spans="6:6" x14ac:dyDescent="0.3">
      <c r="F37" s="43" t="s">
        <v>347</v>
      </c>
    </row>
    <row r="38" spans="6:6" x14ac:dyDescent="0.3">
      <c r="F38" s="43" t="s">
        <v>348</v>
      </c>
    </row>
    <row r="39" spans="6:6" x14ac:dyDescent="0.3">
      <c r="F39" s="5" t="s">
        <v>445</v>
      </c>
    </row>
    <row r="40" spans="6:6" x14ac:dyDescent="0.3">
      <c r="F40" s="43" t="s">
        <v>349</v>
      </c>
    </row>
    <row r="41" spans="6:6" x14ac:dyDescent="0.3">
      <c r="F41" s="43" t="s">
        <v>262</v>
      </c>
    </row>
    <row r="42" spans="6:6" x14ac:dyDescent="0.3">
      <c r="F42" s="43" t="s">
        <v>464</v>
      </c>
    </row>
    <row r="43" spans="6:6" x14ac:dyDescent="0.3">
      <c r="F43" s="43" t="s">
        <v>350</v>
      </c>
    </row>
    <row r="44" spans="6:6" x14ac:dyDescent="0.3">
      <c r="F44" s="43" t="s">
        <v>255</v>
      </c>
    </row>
    <row r="45" spans="6:6" x14ac:dyDescent="0.3">
      <c r="F45" s="43" t="s">
        <v>351</v>
      </c>
    </row>
    <row r="46" spans="6:6" x14ac:dyDescent="0.3">
      <c r="F46" s="43" t="s">
        <v>352</v>
      </c>
    </row>
    <row r="47" spans="6:6" x14ac:dyDescent="0.3">
      <c r="F47" s="5" t="s">
        <v>446</v>
      </c>
    </row>
    <row r="48" spans="6:6" x14ac:dyDescent="0.3">
      <c r="F48" s="43" t="s">
        <v>353</v>
      </c>
    </row>
    <row r="49" spans="6:6" x14ac:dyDescent="0.3">
      <c r="F49" s="43" t="s">
        <v>354</v>
      </c>
    </row>
    <row r="50" spans="6:6" x14ac:dyDescent="0.3">
      <c r="F50" s="5" t="s">
        <v>267</v>
      </c>
    </row>
    <row r="51" spans="6:6" x14ac:dyDescent="0.3">
      <c r="F51" s="43" t="s">
        <v>355</v>
      </c>
    </row>
    <row r="52" spans="6:6" x14ac:dyDescent="0.3">
      <c r="F52" s="5" t="s">
        <v>459</v>
      </c>
    </row>
    <row r="53" spans="6:6" x14ac:dyDescent="0.3">
      <c r="F53" s="43" t="s">
        <v>356</v>
      </c>
    </row>
    <row r="54" spans="6:6" x14ac:dyDescent="0.3">
      <c r="F54" s="43" t="s">
        <v>357</v>
      </c>
    </row>
    <row r="55" spans="6:6" x14ac:dyDescent="0.3">
      <c r="F55" s="43" t="s">
        <v>492</v>
      </c>
    </row>
    <row r="56" spans="6:6" x14ac:dyDescent="0.3">
      <c r="F56" s="43" t="s">
        <v>358</v>
      </c>
    </row>
    <row r="57" spans="6:6" x14ac:dyDescent="0.3">
      <c r="F57" s="43" t="s">
        <v>359</v>
      </c>
    </row>
    <row r="58" spans="6:6" x14ac:dyDescent="0.3">
      <c r="F58" s="43" t="s">
        <v>360</v>
      </c>
    </row>
    <row r="59" spans="6:6" x14ac:dyDescent="0.3">
      <c r="F59" s="43" t="s">
        <v>361</v>
      </c>
    </row>
    <row r="60" spans="6:6" x14ac:dyDescent="0.3">
      <c r="F60" s="43" t="s">
        <v>362</v>
      </c>
    </row>
    <row r="61" spans="6:6" x14ac:dyDescent="0.3">
      <c r="F61" s="43" t="s">
        <v>363</v>
      </c>
    </row>
    <row r="62" spans="6:6" x14ac:dyDescent="0.3">
      <c r="F62" s="43" t="s">
        <v>364</v>
      </c>
    </row>
    <row r="63" spans="6:6" x14ac:dyDescent="0.3">
      <c r="F63" s="43" t="s">
        <v>365</v>
      </c>
    </row>
    <row r="64" spans="6:6" x14ac:dyDescent="0.3">
      <c r="F64" s="43" t="s">
        <v>366</v>
      </c>
    </row>
    <row r="65" spans="6:6" x14ac:dyDescent="0.3">
      <c r="F65" s="43" t="s">
        <v>367</v>
      </c>
    </row>
    <row r="66" spans="6:6" x14ac:dyDescent="0.3">
      <c r="F66" s="43" t="s">
        <v>368</v>
      </c>
    </row>
    <row r="67" spans="6:6" x14ac:dyDescent="0.3">
      <c r="F67" s="43" t="s">
        <v>369</v>
      </c>
    </row>
    <row r="68" spans="6:6" x14ac:dyDescent="0.3">
      <c r="F68" s="43" t="s">
        <v>370</v>
      </c>
    </row>
    <row r="69" spans="6:6" x14ac:dyDescent="0.3">
      <c r="F69" s="43" t="s">
        <v>371</v>
      </c>
    </row>
    <row r="70" spans="6:6" x14ac:dyDescent="0.3">
      <c r="F70" s="43" t="s">
        <v>372</v>
      </c>
    </row>
    <row r="71" spans="6:6" x14ac:dyDescent="0.3">
      <c r="F71" s="43" t="s">
        <v>373</v>
      </c>
    </row>
    <row r="72" spans="6:6" x14ac:dyDescent="0.3">
      <c r="F72" s="43" t="s">
        <v>374</v>
      </c>
    </row>
    <row r="73" spans="6:6" x14ac:dyDescent="0.3">
      <c r="F73" s="43" t="s">
        <v>375</v>
      </c>
    </row>
    <row r="74" spans="6:6" x14ac:dyDescent="0.3">
      <c r="F74" s="44" t="s">
        <v>376</v>
      </c>
    </row>
    <row r="75" spans="6:6" x14ac:dyDescent="0.3">
      <c r="F75" s="43" t="s">
        <v>377</v>
      </c>
    </row>
    <row r="76" spans="6:6" x14ac:dyDescent="0.3">
      <c r="F76" s="5" t="s">
        <v>378</v>
      </c>
    </row>
    <row r="77" spans="6:6" x14ac:dyDescent="0.3">
      <c r="F77" s="5" t="s">
        <v>379</v>
      </c>
    </row>
    <row r="78" spans="6:6" x14ac:dyDescent="0.3">
      <c r="F78" s="5" t="s">
        <v>380</v>
      </c>
    </row>
    <row r="79" spans="6:6" x14ac:dyDescent="0.3">
      <c r="F79" s="5" t="s">
        <v>381</v>
      </c>
    </row>
    <row r="80" spans="6:6" x14ac:dyDescent="0.3">
      <c r="F80" s="5" t="s">
        <v>382</v>
      </c>
    </row>
    <row r="81" spans="6:6" x14ac:dyDescent="0.3">
      <c r="F81" s="5" t="s">
        <v>463</v>
      </c>
    </row>
    <row r="82" spans="6:6" x14ac:dyDescent="0.3">
      <c r="F82" s="5" t="s">
        <v>168</v>
      </c>
    </row>
    <row r="83" spans="6:6" x14ac:dyDescent="0.3">
      <c r="F83" s="5" t="s">
        <v>447</v>
      </c>
    </row>
    <row r="84" spans="6:6" x14ac:dyDescent="0.3">
      <c r="F84" s="5" t="s">
        <v>383</v>
      </c>
    </row>
    <row r="85" spans="6:6" x14ac:dyDescent="0.3">
      <c r="F85" s="5" t="s">
        <v>448</v>
      </c>
    </row>
    <row r="86" spans="6:6" x14ac:dyDescent="0.3">
      <c r="F86" s="5" t="s">
        <v>449</v>
      </c>
    </row>
    <row r="87" spans="6:6" x14ac:dyDescent="0.3">
      <c r="F87" s="5" t="s">
        <v>384</v>
      </c>
    </row>
    <row r="88" spans="6:6" x14ac:dyDescent="0.3">
      <c r="F88" s="5" t="s">
        <v>462</v>
      </c>
    </row>
    <row r="89" spans="6:6" x14ac:dyDescent="0.3">
      <c r="F89" s="5" t="s">
        <v>385</v>
      </c>
    </row>
    <row r="90" spans="6:6" x14ac:dyDescent="0.3">
      <c r="F90" s="5" t="s">
        <v>450</v>
      </c>
    </row>
    <row r="91" spans="6:6" x14ac:dyDescent="0.3">
      <c r="F91" s="5" t="s">
        <v>451</v>
      </c>
    </row>
    <row r="92" spans="6:6" x14ac:dyDescent="0.3">
      <c r="F92" s="5" t="s">
        <v>386</v>
      </c>
    </row>
    <row r="93" spans="6:6" x14ac:dyDescent="0.3">
      <c r="F93" s="5" t="s">
        <v>387</v>
      </c>
    </row>
    <row r="94" spans="6:6" x14ac:dyDescent="0.3">
      <c r="F94" s="5" t="s">
        <v>388</v>
      </c>
    </row>
    <row r="95" spans="6:6" x14ac:dyDescent="0.3">
      <c r="F95" s="5" t="s">
        <v>389</v>
      </c>
    </row>
    <row r="96" spans="6:6" x14ac:dyDescent="0.3">
      <c r="F96" s="5" t="s">
        <v>390</v>
      </c>
    </row>
    <row r="97" spans="6:6" x14ac:dyDescent="0.3">
      <c r="F97" s="5" t="s">
        <v>391</v>
      </c>
    </row>
    <row r="98" spans="6:6" x14ac:dyDescent="0.3">
      <c r="F98" s="5" t="s">
        <v>108</v>
      </c>
    </row>
    <row r="99" spans="6:6" x14ac:dyDescent="0.3">
      <c r="F99" s="5" t="s">
        <v>392</v>
      </c>
    </row>
    <row r="100" spans="6:6" x14ac:dyDescent="0.3">
      <c r="F100" s="5" t="s">
        <v>393</v>
      </c>
    </row>
    <row r="101" spans="6:6" x14ac:dyDescent="0.3">
      <c r="F101" s="5" t="s">
        <v>394</v>
      </c>
    </row>
    <row r="102" spans="6:6" x14ac:dyDescent="0.3">
      <c r="F102" s="5" t="s">
        <v>395</v>
      </c>
    </row>
    <row r="103" spans="6:6" x14ac:dyDescent="0.3">
      <c r="F103" s="5" t="s">
        <v>396</v>
      </c>
    </row>
    <row r="104" spans="6:6" x14ac:dyDescent="0.3">
      <c r="F104" s="5" t="s">
        <v>452</v>
      </c>
    </row>
    <row r="105" spans="6:6" x14ac:dyDescent="0.3">
      <c r="F105" s="5" t="s">
        <v>397</v>
      </c>
    </row>
    <row r="106" spans="6:6" x14ac:dyDescent="0.3">
      <c r="F106" s="5" t="s">
        <v>398</v>
      </c>
    </row>
    <row r="107" spans="6:6" x14ac:dyDescent="0.3">
      <c r="F107" s="5" t="s">
        <v>399</v>
      </c>
    </row>
    <row r="108" spans="6:6" x14ac:dyDescent="0.3">
      <c r="F108" s="5" t="s">
        <v>400</v>
      </c>
    </row>
    <row r="109" spans="6:6" x14ac:dyDescent="0.3">
      <c r="F109" s="5" t="s">
        <v>401</v>
      </c>
    </row>
    <row r="110" spans="6:6" x14ac:dyDescent="0.3">
      <c r="F110" s="5" t="s">
        <v>453</v>
      </c>
    </row>
    <row r="111" spans="6:6" x14ac:dyDescent="0.3">
      <c r="F111" s="5" t="s">
        <v>179</v>
      </c>
    </row>
    <row r="112" spans="6:6" x14ac:dyDescent="0.3">
      <c r="F112" s="5" t="s">
        <v>402</v>
      </c>
    </row>
    <row r="113" spans="6:6" x14ac:dyDescent="0.3">
      <c r="F113" s="5" t="s">
        <v>120</v>
      </c>
    </row>
    <row r="114" spans="6:6" x14ac:dyDescent="0.3">
      <c r="F114" s="5" t="s">
        <v>403</v>
      </c>
    </row>
    <row r="115" spans="6:6" x14ac:dyDescent="0.3">
      <c r="F115" s="5" t="s">
        <v>454</v>
      </c>
    </row>
    <row r="116" spans="6:6" x14ac:dyDescent="0.3">
      <c r="F116" s="5" t="s">
        <v>404</v>
      </c>
    </row>
    <row r="117" spans="6:6" x14ac:dyDescent="0.3">
      <c r="F117" s="5" t="s">
        <v>31</v>
      </c>
    </row>
    <row r="118" spans="6:6" x14ac:dyDescent="0.3">
      <c r="F118" s="5" t="s">
        <v>455</v>
      </c>
    </row>
    <row r="119" spans="6:6" x14ac:dyDescent="0.3">
      <c r="F119" s="5" t="s">
        <v>405</v>
      </c>
    </row>
    <row r="120" spans="6:6" x14ac:dyDescent="0.3">
      <c r="F120" s="5" t="s">
        <v>268</v>
      </c>
    </row>
    <row r="121" spans="6:6" x14ac:dyDescent="0.3">
      <c r="F121" s="5" t="s">
        <v>406</v>
      </c>
    </row>
    <row r="122" spans="6:6" x14ac:dyDescent="0.3">
      <c r="F122" s="5" t="s">
        <v>407</v>
      </c>
    </row>
    <row r="123" spans="6:6" x14ac:dyDescent="0.3">
      <c r="F123" s="53" t="s">
        <v>487</v>
      </c>
    </row>
    <row r="124" spans="6:6" x14ac:dyDescent="0.3">
      <c r="F124" s="5" t="s">
        <v>408</v>
      </c>
    </row>
    <row r="125" spans="6:6" x14ac:dyDescent="0.3">
      <c r="F125" s="5" t="s">
        <v>409</v>
      </c>
    </row>
    <row r="126" spans="6:6" x14ac:dyDescent="0.3">
      <c r="F126" s="5" t="s">
        <v>410</v>
      </c>
    </row>
    <row r="127" spans="6:6" x14ac:dyDescent="0.3">
      <c r="F127" s="5" t="s">
        <v>411</v>
      </c>
    </row>
    <row r="128" spans="6:6" x14ac:dyDescent="0.3">
      <c r="F128" s="5" t="s">
        <v>412</v>
      </c>
    </row>
    <row r="129" spans="6:6" x14ac:dyDescent="0.3">
      <c r="F129" s="5" t="s">
        <v>21</v>
      </c>
    </row>
    <row r="130" spans="6:6" x14ac:dyDescent="0.3">
      <c r="F130" s="5" t="s">
        <v>458</v>
      </c>
    </row>
    <row r="131" spans="6:6" x14ac:dyDescent="0.3">
      <c r="F131" s="5" t="s">
        <v>413</v>
      </c>
    </row>
    <row r="132" spans="6:6" x14ac:dyDescent="0.3">
      <c r="F132" s="5" t="s">
        <v>414</v>
      </c>
    </row>
    <row r="133" spans="6:6" x14ac:dyDescent="0.3">
      <c r="F133" s="5" t="s">
        <v>415</v>
      </c>
    </row>
    <row r="134" spans="6:6" x14ac:dyDescent="0.3">
      <c r="F134" s="5" t="s">
        <v>416</v>
      </c>
    </row>
    <row r="135" spans="6:6" x14ac:dyDescent="0.3">
      <c r="F135" s="5" t="s">
        <v>417</v>
      </c>
    </row>
    <row r="136" spans="6:6" x14ac:dyDescent="0.3">
      <c r="F136" s="5" t="s">
        <v>418</v>
      </c>
    </row>
    <row r="137" spans="6:6" x14ac:dyDescent="0.3">
      <c r="F137" s="5" t="s">
        <v>419</v>
      </c>
    </row>
    <row r="138" spans="6:6" x14ac:dyDescent="0.3">
      <c r="F138" s="5" t="s">
        <v>420</v>
      </c>
    </row>
    <row r="139" spans="6:6" x14ac:dyDescent="0.3">
      <c r="F139" s="5" t="s">
        <v>421</v>
      </c>
    </row>
    <row r="140" spans="6:6" x14ac:dyDescent="0.3">
      <c r="F140" s="5" t="s">
        <v>422</v>
      </c>
    </row>
    <row r="141" spans="6:6" x14ac:dyDescent="0.3">
      <c r="F141" s="43" t="s">
        <v>465</v>
      </c>
    </row>
    <row r="142" spans="6:6" x14ac:dyDescent="0.3">
      <c r="F142" s="5" t="s">
        <v>423</v>
      </c>
    </row>
    <row r="143" spans="6:6" x14ac:dyDescent="0.3">
      <c r="F143" s="5" t="s">
        <v>424</v>
      </c>
    </row>
    <row r="144" spans="6:6" x14ac:dyDescent="0.3">
      <c r="F144" s="5" t="s">
        <v>425</v>
      </c>
    </row>
    <row r="145" spans="6:6" x14ac:dyDescent="0.3">
      <c r="F145" s="5" t="s">
        <v>426</v>
      </c>
    </row>
    <row r="146" spans="6:6" x14ac:dyDescent="0.3">
      <c r="F146" s="5" t="s">
        <v>456</v>
      </c>
    </row>
    <row r="147" spans="6:6" x14ac:dyDescent="0.3">
      <c r="F147" s="5" t="s">
        <v>427</v>
      </c>
    </row>
    <row r="148" spans="6:6" x14ac:dyDescent="0.3">
      <c r="F148" s="5" t="s">
        <v>18</v>
      </c>
    </row>
    <row r="149" spans="6:6" x14ac:dyDescent="0.3">
      <c r="F149" s="5" t="s">
        <v>105</v>
      </c>
    </row>
    <row r="150" spans="6:6" x14ac:dyDescent="0.3">
      <c r="F150" s="5" t="s">
        <v>428</v>
      </c>
    </row>
    <row r="151" spans="6:6" x14ac:dyDescent="0.3">
      <c r="F151" s="5" t="s">
        <v>429</v>
      </c>
    </row>
    <row r="152" spans="6:6" x14ac:dyDescent="0.3">
      <c r="F152" s="5" t="s">
        <v>457</v>
      </c>
    </row>
    <row r="153" spans="6:6" x14ac:dyDescent="0.3">
      <c r="F153" s="5" t="s">
        <v>266</v>
      </c>
    </row>
    <row r="154" spans="6:6" x14ac:dyDescent="0.3">
      <c r="F154" s="5" t="s">
        <v>430</v>
      </c>
    </row>
    <row r="155" spans="6:6" x14ac:dyDescent="0.3">
      <c r="F155" s="5" t="s">
        <v>431</v>
      </c>
    </row>
    <row r="156" spans="6:6" x14ac:dyDescent="0.3">
      <c r="F156" s="5" t="s">
        <v>432</v>
      </c>
    </row>
    <row r="157" spans="6:6" x14ac:dyDescent="0.3">
      <c r="F157" s="5" t="s">
        <v>433</v>
      </c>
    </row>
    <row r="158" spans="6:6" x14ac:dyDescent="0.3">
      <c r="F158" s="5" t="s">
        <v>434</v>
      </c>
    </row>
    <row r="159" spans="6:6" x14ac:dyDescent="0.3">
      <c r="F159" s="5" t="s">
        <v>435</v>
      </c>
    </row>
    <row r="160" spans="6:6" x14ac:dyDescent="0.3">
      <c r="F160" s="5" t="s">
        <v>436</v>
      </c>
    </row>
    <row r="161" spans="6:6" x14ac:dyDescent="0.3">
      <c r="F161" s="5" t="s">
        <v>437</v>
      </c>
    </row>
    <row r="162" spans="6:6" x14ac:dyDescent="0.3">
      <c r="F162" s="5" t="s">
        <v>438</v>
      </c>
    </row>
    <row r="163" spans="6:6" x14ac:dyDescent="0.3">
      <c r="F163" s="5" t="s">
        <v>439</v>
      </c>
    </row>
    <row r="164" spans="6:6" x14ac:dyDescent="0.3">
      <c r="F164" s="5" t="s">
        <v>117</v>
      </c>
    </row>
    <row r="165" spans="6:6" x14ac:dyDescent="0.3">
      <c r="F165" s="5" t="s">
        <v>440</v>
      </c>
    </row>
    <row r="166" spans="6:6" x14ac:dyDescent="0.3">
      <c r="F166" s="5" t="s">
        <v>441</v>
      </c>
    </row>
    <row r="167" spans="6:6" x14ac:dyDescent="0.3">
      <c r="F167" s="5" t="s">
        <v>442</v>
      </c>
    </row>
  </sheetData>
  <sortState ref="E2:E10">
    <sortCondition ref="E2"/>
  </sortState>
  <conditionalFormatting sqref="F2:F167">
    <cfRule type="duplicateValues" dxfId="0" priority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B934E8D4CE3148A632FB8C87B06E1F" ma:contentTypeVersion="0" ma:contentTypeDescription="Create a new document." ma:contentTypeScope="" ma:versionID="1fc4f01f2271fcdcfd8cfda0cc5bd42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D027A3-6A09-4D2D-8FBC-BEDF48691A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3DABDA-5E24-46B5-AE1F-1CC67D282AF8}">
  <ds:schemaRefs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4F0E49C-E3F0-4F2B-9585-947D29A625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sample IT upload file</vt:lpstr>
      <vt:lpstr>Sheet1</vt:lpstr>
      <vt:lpstr>LOVs</vt:lpstr>
      <vt:lpstr>Arealist</vt:lpstr>
      <vt:lpstr>dynotypes</vt:lpstr>
      <vt:lpstr>matlabtypelist</vt:lpstr>
      <vt:lpstr>originatorlist</vt:lpstr>
      <vt:lpstr>productgroup</vt:lpstr>
      <vt:lpstr>techtypelist</vt:lpstr>
      <vt:lpstr>vehtypelist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Overton, Matthew</dc:creator>
  <cp:lastModifiedBy>Almomar, Mustafa</cp:lastModifiedBy>
  <cp:lastPrinted>2019-06-24T08:46:22Z</cp:lastPrinted>
  <dcterms:created xsi:type="dcterms:W3CDTF">2008-04-08T05:10:17Z</dcterms:created>
  <dcterms:modified xsi:type="dcterms:W3CDTF">2019-11-05T16:05:37Z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0x0101008AB934E8D4CE3148A632FB8C87B06E1F</vt:lpwstr>
  </property>
</Properties>
</file>